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J:\2010\Prezentace\Prezentace HV\2026\Q1 2026\Klíčové údaje\"/>
    </mc:Choice>
  </mc:AlternateContent>
  <xr:revisionPtr revIDLastSave="0" documentId="13_ncr:1_{4FE6291F-A01C-42F5-AC47-9966D53B3B33}" xr6:coauthVersionLast="47" xr6:coauthVersionMax="47" xr10:uidLastSave="{00000000-0000-0000-0000-000000000000}"/>
  <bookViews>
    <workbookView xWindow="-120" yWindow="-120" windowWidth="51840" windowHeight="21120" tabRatio="693" xr2:uid="{00000000-000D-0000-FFFF-FFFF00000000}"/>
  </bookViews>
  <sheets>
    <sheet name="Key_figures" sheetId="2" r:id="rId1"/>
    <sheet name="Fin_Statements_IFRS9" sheetId="58" r:id="rId2"/>
    <sheet name="Macro" sheetId="55" r:id="rId3"/>
    <sheet name="Shareholder_struc" sheetId="8" r:id="rId4"/>
    <sheet name="IR calendar" sheetId="10" r:id="rId5"/>
    <sheet name="Contacts" sheetId="12" r:id="rId6"/>
    <sheet name="Fin_statements 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AP2" localSheetId="2" hidden="1">{#N/A,#N/A,TRUE,"Tab0201";#N/A,#N/A,TRUE,"Tab0202";#N/A,#N/A,TRUE,"Tab0203"}</definedName>
    <definedName name="_____AP2" hidden="1">{#N/A,#N/A,TRUE,"Tab0201";#N/A,#N/A,TRUE,"Tab0202";#N/A,#N/A,TRUE,"Tab0203"}</definedName>
    <definedName name="_____APR2" localSheetId="2" hidden="1">{#N/A,#N/A,TRUE,"FX POSITION and PL Calculation";#N/A,#N/A,TRUE,"USD-DEM";#N/A,#N/A,TRUE,"FX"}</definedName>
    <definedName name="_____APR2" hidden="1">{#N/A,#N/A,TRUE,"FX POSITION and PL Calculation";#N/A,#N/A,TRUE,"USD-DEM";#N/A,#N/A,TRUE,"FX"}</definedName>
    <definedName name="_____aq2" localSheetId="2" hidden="1">{#N/A,#N/A,FALSE,"Tab0501";#N/A,#N/A,FALSE,"Tab0502";#N/A,#N/A,FALSE,"Tab0503";#N/A,#N/A,FALSE,"Tab0504";#N/A,#N/A,FALSE,"Tab0505"}</definedName>
    <definedName name="_____aq2" hidden="1">{#N/A,#N/A,FALSE,"Tab0501";#N/A,#N/A,FALSE,"Tab0502";#N/A,#N/A,FALSE,"Tab0503";#N/A,#N/A,FALSE,"Tab0504";#N/A,#N/A,FALSE,"Tab0505"}</definedName>
    <definedName name="____AP2" localSheetId="2" hidden="1">{#N/A,#N/A,TRUE,"Tab0201";#N/A,#N/A,TRUE,"Tab0202";#N/A,#N/A,TRUE,"Tab0203"}</definedName>
    <definedName name="____APR2" localSheetId="2" hidden="1">{#N/A,#N/A,TRUE,"FX POSITION and PL Calculation";#N/A,#N/A,TRUE,"USD-DEM";#N/A,#N/A,TRUE,"FX"}</definedName>
    <definedName name="____aq2" localSheetId="2" hidden="1">{#N/A,#N/A,FALSE,"Tab0501";#N/A,#N/A,FALSE,"Tab0502";#N/A,#N/A,FALSE,"Tab0503";#N/A,#N/A,FALSE,"Tab0504";#N/A,#N/A,FALSE,"Tab0505"}</definedName>
    <definedName name="____C5AX83">[1]PlanMon!$C$5</definedName>
    <definedName name="____RAD5">[2]ŘADA!$D$5</definedName>
    <definedName name="___AP2" localSheetId="2" hidden="1">{#N/A,#N/A,TRUE,"Tab0201";#N/A,#N/A,TRUE,"Tab0202";#N/A,#N/A,TRUE,"Tab0203"}</definedName>
    <definedName name="___AP2" hidden="1">{#N/A,#N/A,TRUE,"Tab0201";#N/A,#N/A,TRUE,"Tab0202";#N/A,#N/A,TRUE,"Tab0203"}</definedName>
    <definedName name="___APR2" localSheetId="2" hidden="1">{#N/A,#N/A,TRUE,"FX POSITION and PL Calculation";#N/A,#N/A,TRUE,"USD-DEM";#N/A,#N/A,TRUE,"FX"}</definedName>
    <definedName name="___APR2" hidden="1">{#N/A,#N/A,TRUE,"FX POSITION and PL Calculation";#N/A,#N/A,TRUE,"USD-DEM";#N/A,#N/A,TRUE,"FX"}</definedName>
    <definedName name="___aq2" localSheetId="2" hidden="1">{#N/A,#N/A,FALSE,"Tab0501";#N/A,#N/A,FALSE,"Tab0502";#N/A,#N/A,FALSE,"Tab0503";#N/A,#N/A,FALSE,"Tab0504";#N/A,#N/A,FALSE,"Tab0505"}</definedName>
    <definedName name="___aq2" hidden="1">{#N/A,#N/A,FALSE,"Tab0501";#N/A,#N/A,FALSE,"Tab0502";#N/A,#N/A,FALSE,"Tab0503";#N/A,#N/A,FALSE,"Tab0504";#N/A,#N/A,FALSE,"Tab0505"}</definedName>
    <definedName name="___C5AX83">[1]PlanMon!$C$5</definedName>
    <definedName name="___RAD5">[2]ŘADA!$D$5</definedName>
    <definedName name="__123Graph_C" localSheetId="2" hidden="1">'[3]#REF'!#REF!</definedName>
    <definedName name="__123Graph_C" hidden="1">'[3]#REF'!#REF!</definedName>
    <definedName name="__123Graph_CACTASSETS" localSheetId="2" hidden="1">'[3]#REF'!#REF!</definedName>
    <definedName name="__123Graph_CACTASSETS" hidden="1">'[3]#REF'!#REF!</definedName>
    <definedName name="__123Graph_CACTLIAB" localSheetId="2" hidden="1">'[3]#REF'!#REF!</definedName>
    <definedName name="__123Graph_CACTLIAB" hidden="1">'[3]#REF'!#REF!</definedName>
    <definedName name="__123Graph_CBUDGASSETS" localSheetId="2" hidden="1">'[3]#REF'!#REF!</definedName>
    <definedName name="__123Graph_CBUDGASSETS" hidden="1">'[3]#REF'!#REF!</definedName>
    <definedName name="__123Graph_CBUDLIAB" localSheetId="2" hidden="1">'[3]#REF'!#REF!</definedName>
    <definedName name="__123Graph_CBUDLIAB" hidden="1">'[3]#REF'!#REF!</definedName>
    <definedName name="__123Graph_CINTINC3006" localSheetId="2" hidden="1">'[3]#REF'!#REF!</definedName>
    <definedName name="__123Graph_CINTINC3006" hidden="1">'[3]#REF'!#REF!</definedName>
    <definedName name="__123Graph_CINTINCBUD" localSheetId="2" hidden="1">'[3]#REF'!#REF!</definedName>
    <definedName name="__123Graph_CINTINCBUD" hidden="1">'[3]#REF'!#REF!</definedName>
    <definedName name="__AP2" hidden="1">{#N/A,#N/A,TRUE,"Tab0201";#N/A,#N/A,TRUE,"Tab0202";#N/A,#N/A,TRUE,"Tab0203"}</definedName>
    <definedName name="__APR2" hidden="1">{#N/A,#N/A,TRUE,"FX POSITION and PL Calculation";#N/A,#N/A,TRUE,"USD-DEM";#N/A,#N/A,TRUE,"FX"}</definedName>
    <definedName name="__aq2" hidden="1">{#N/A,#N/A,FALSE,"Tab0501";#N/A,#N/A,FALSE,"Tab0502";#N/A,#N/A,FALSE,"Tab0503";#N/A,#N/A,FALSE,"Tab0504";#N/A,#N/A,FALSE,"Tab0505"}</definedName>
    <definedName name="__C5AX83">[1]PlanMon!$C$5</definedName>
    <definedName name="__RAD5">[2]ŘADA!$D$5</definedName>
    <definedName name="_1__123Graph_CASSETS1_6" hidden="1">'[3]#REF'!#REF!</definedName>
    <definedName name="_2__123Graph_CLIAB1_6" hidden="1">'[3]#REF'!#REF!</definedName>
    <definedName name="_AP2" localSheetId="2" hidden="1">{#N/A,#N/A,TRUE,"Tab0201";#N/A,#N/A,TRUE,"Tab0202";#N/A,#N/A,TRUE,"Tab0203"}</definedName>
    <definedName name="_AP2" hidden="1">{#N/A,#N/A,TRUE,"Tab0201";#N/A,#N/A,TRUE,"Tab0202";#N/A,#N/A,TRUE,"Tab0203"}</definedName>
    <definedName name="_APR2" localSheetId="2" hidden="1">{#N/A,#N/A,TRUE,"FX POSITION and PL Calculation";#N/A,#N/A,TRUE,"USD-DEM";#N/A,#N/A,TRUE,"FX"}</definedName>
    <definedName name="_APR2" hidden="1">{#N/A,#N/A,TRUE,"FX POSITION and PL Calculation";#N/A,#N/A,TRUE,"USD-DEM";#N/A,#N/A,TRUE,"FX"}</definedName>
    <definedName name="_aq2" localSheetId="2" hidden="1">{#N/A,#N/A,FALSE,"Tab0501";#N/A,#N/A,FALSE,"Tab0502";#N/A,#N/A,FALSE,"Tab0503";#N/A,#N/A,FALSE,"Tab0504";#N/A,#N/A,FALSE,"Tab0505"}</definedName>
    <definedName name="_aq2" hidden="1">{#N/A,#N/A,FALSE,"Tab0501";#N/A,#N/A,FALSE,"Tab0502";#N/A,#N/A,FALSE,"Tab0503";#N/A,#N/A,FALSE,"Tab0504";#N/A,#N/A,FALSE,"Tab0505"}</definedName>
    <definedName name="_C5AX83">[1]PlanMon!$C$5</definedName>
    <definedName name="_Order1" hidden="1">0</definedName>
    <definedName name="_RAD5">[2]ŘADA!$D$5</definedName>
    <definedName name="A61Státní_dluhopisy" localSheetId="2">#REF!</definedName>
    <definedName name="A61Státní_dluhopisy">#REF!</definedName>
    <definedName name="A99I">[2]LIST!$B$121:$B$182</definedName>
    <definedName name="Accrued">'[4]Asset Swap'!$B$46:$B$51</definedName>
    <definedName name="adfas" localSheetId="2" hidden="1">{#N/A,#N/A,FALSE,"Tab0501";#N/A,#N/A,FALSE,"Tab0502";#N/A,#N/A,FALSE,"Tab0503";#N/A,#N/A,FALSE,"Tab0504";#N/A,#N/A,FALSE,"Tab0505"}</definedName>
    <definedName name="adfas" hidden="1">{#N/A,#N/A,FALSE,"Tab0501";#N/A,#N/A,FALSE,"Tab0502";#N/A,#N/A,FALSE,"Tab0503";#N/A,#N/A,FALSE,"Tab0504";#N/A,#N/A,FALSE,"Tab0505"}</definedName>
    <definedName name="adfjsd" localSheetId="2" hidden="1">{#N/A,#N/A,TRUE,"Tab0201";#N/A,#N/A,TRUE,"Tab0202";#N/A,#N/A,TRUE,"Tab0203"}</definedName>
    <definedName name="adfjsd" hidden="1">{#N/A,#N/A,TRUE,"Tab0201";#N/A,#N/A,TRUE,"Tab0202";#N/A,#N/A,TRUE,"Tab0203"}</definedName>
    <definedName name="adhůfiow" localSheetId="2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adhůfiow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af" localSheetId="2" hidden="1">{#N/A,#N/A,TRUE,"FX POSITION and PL Calculation";#N/A,#N/A,TRUE,"USD-DEM";#N/A,#N/A,TRUE,"FX"}</definedName>
    <definedName name="af" hidden="1">{#N/A,#N/A,TRUE,"FX POSITION and PL Calculation";#N/A,#N/A,TRUE,"USD-DEM";#N/A,#N/A,TRUE,"FX"}</definedName>
    <definedName name="Annual_Semi">'[4]Asset Swap'!$E$85:$E$86</definedName>
    <definedName name="AP_cesky" localSheetId="2" hidden="1">{#N/A,#N/A,TRUE,"Tab0201";#N/A,#N/A,TRUE,"Tab0202";#N/A,#N/A,TRUE,"Tab0203"}</definedName>
    <definedName name="AP_cesky" hidden="1">{#N/A,#N/A,TRUE,"Tab0201";#N/A,#N/A,TRUE,"Tab0202";#N/A,#N/A,TRUE,"Tab0203"}</definedName>
    <definedName name="AQ_cesky" localSheetId="2" hidden="1">{#N/A,#N/A,TRUE,"Tab0201";#N/A,#N/A,TRUE,"Tab0202";#N/A,#N/A,TRUE,"Tab0203"}</definedName>
    <definedName name="AQ_cesky" hidden="1">{#N/A,#N/A,TRUE,"Tab0201";#N/A,#N/A,TRUE,"Tab0202";#N/A,#N/A,TRUE,"Tab0203"}</definedName>
    <definedName name="as" localSheetId="2" hidden="1">{#N/A,#N/A,FALSE,"Tab0501";#N/A,#N/A,FALSE,"Tab0502";#N/A,#N/A,FALSE,"Tab0503";#N/A,#N/A,FALSE,"Tab0504";#N/A,#N/A,FALSE,"Tab0505"}</definedName>
    <definedName name="as" hidden="1">{#N/A,#N/A,FALSE,"Tab0501";#N/A,#N/A,FALSE,"Tab0502";#N/A,#N/A,FALSE,"Tab0503";#N/A,#N/A,FALSE,"Tab0504";#N/A,#N/A,FALSE,"Tab0505"}</definedName>
    <definedName name="AS2DocOpenMode" hidden="1">"AS2DocumentEdit"</definedName>
    <definedName name="AS2NamedRange" hidden="1">4</definedName>
    <definedName name="asds" localSheetId="2" hidden="1">#N/A</definedName>
    <definedName name="asds" hidden="1">{#VALUE!,#N/A,TRUE,0;#N/A,#N/A,TRUE,0;#N/A,#N/A,TRUE,0}</definedName>
    <definedName name="assda" localSheetId="2" hidden="1">{#N/A,#N/A,TRUE,"FX POSITION and PL Calculation";#N/A,#N/A,TRUE,"USD-DEM";#N/A,#N/A,TRUE,"FX"}</definedName>
    <definedName name="assda" hidden="1">{#N/A,#N/A,TRUE,"FX POSITION and PL Calculation";#N/A,#N/A,TRUE,"USD-DEM";#N/A,#N/A,TRUE,"FX"}</definedName>
    <definedName name="ATS" localSheetId="2">#REF!</definedName>
    <definedName name="ATS">#REF!</definedName>
    <definedName name="ATS_1">'[5]Waehrung und Datum'!#REF!</definedName>
    <definedName name="ATSDS" localSheetId="2">#REF!</definedName>
    <definedName name="ATSDS">#REF!</definedName>
    <definedName name="AU2au83">[6]PlanMon!$AU$2</definedName>
    <definedName name="Aug_2000">'[7]Kommentar GuV-Positionen'!$B$12:$C$19,'[7]Kommentar GuV-Positionen'!$F$12:$G$19,'[7]Kommentar GuV-Positionen'!$I$12:$I$19</definedName>
    <definedName name="Balance_sheet">'[8]Financials &amp; ratios LCY'!$B$354:$BM$378</definedName>
    <definedName name="bla" localSheetId="2" hidden="1">'[3]#REF'!#REF!</definedName>
    <definedName name="bla" hidden="1">'[3]#REF'!#REF!</definedName>
    <definedName name="blablebla\" localSheetId="2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blablebla\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blableblu" localSheetId="2" hidden="1">{#N/A,#N/A,TRUE,"Tab0201";#N/A,#N/A,TRUE,"Tab0202";#N/A,#N/A,TRUE,"Tab0203"}</definedName>
    <definedName name="blableblu" hidden="1">{#N/A,#N/A,TRUE,"Tab0201";#N/A,#N/A,TRUE,"Tab0202";#N/A,#N/A,TRUE,"Tab0203"}</definedName>
    <definedName name="bleglo" localSheetId="2" hidden="1">{#N/A,#N/A,TRUE,"Tab0201";#N/A,#N/A,TRUE,"Tab0202";#N/A,#N/A,TRUE,"Tab0203"}</definedName>
    <definedName name="bleglo" hidden="1">{#N/A,#N/A,TRUE,"Tab0201";#N/A,#N/A,TRUE,"Tab0202";#N/A,#N/A,TRUE,"Tab0203"}</definedName>
    <definedName name="blok1" localSheetId="2">#REF!</definedName>
    <definedName name="blok1">#REF!</definedName>
    <definedName name="blok2" localSheetId="2">#REF!</definedName>
    <definedName name="blok2">#REF!</definedName>
    <definedName name="blok3" localSheetId="2">#REF!</definedName>
    <definedName name="blok3">#REF!</definedName>
    <definedName name="Bonds">'[4]Bond Monitor'!$A$9:$BH$19</definedName>
    <definedName name="BS_dates">'[9]Date options'!$B$5:$BM$5</definedName>
    <definedName name="bs_interest_expense" localSheetId="2">[10]scenarios!$C$12</definedName>
    <definedName name="bs_interest_expense">[10]scenarios!$C$12</definedName>
    <definedName name="bs_interest_income" localSheetId="2">[10]scenarios!$C$11</definedName>
    <definedName name="bs_interest_income">[10]scenarios!$C$11</definedName>
    <definedName name="BusDayRule" localSheetId="2">#REF!</definedName>
    <definedName name="BusDayRule">#REF!</definedName>
    <definedName name="cap_curve">[4]CapColFlr!$F$384</definedName>
    <definedName name="cap_tech">[4]CapColFlr!$C$384</definedName>
    <definedName name="cfonvd" localSheetId="2">#REF!</definedName>
    <definedName name="cfonvd">#REF!</definedName>
    <definedName name="change_in_interest_expense" localSheetId="2">[10]scenarios!$F$12</definedName>
    <definedName name="change_in_interest_expense">[10]scenarios!$F$12</definedName>
    <definedName name="change_in_interest_income" localSheetId="2">[10]scenarios!$F$11</definedName>
    <definedName name="change_in_interest_income">[10]scenarios!$F$11</definedName>
    <definedName name="change_in_profit" localSheetId="2">[10]scenarios!$F$10</definedName>
    <definedName name="change_in_profit">[10]scenarios!$F$10</definedName>
    <definedName name="CHF_1">'[5]Waehrung und Datum'!#REF!</definedName>
    <definedName name="CHFDS">'[5]Waehrung und Datum'!#REF!</definedName>
    <definedName name="Conv">#REF!</definedName>
    <definedName name="conval">'[11]Rec Data'!$A$44:$M$48</definedName>
    <definedName name="Coupon_Cycle">'[4]Asset Swap'!$G$58:$G$59</definedName>
    <definedName name="CZK" localSheetId="2">#REF!</definedName>
    <definedName name="CZK">#REF!</definedName>
    <definedName name="CZK_1">'[5]Waehrung und Datum'!#REF!</definedName>
    <definedName name="CZKDS" localSheetId="2">#REF!</definedName>
    <definedName name="CZKDS">#REF!</definedName>
    <definedName name="d" localSheetId="2" hidden="1">{#N/A,#N/A,TRUE,"FX POSITION and PL Calculation";#N/A,#N/A,TRUE,"USD-DEM";#N/A,#N/A,TRUE,"FX"}</definedName>
    <definedName name="d" hidden="1">{#N/A,#N/A,TRUE,"FX POSITION and PL Calculation";#N/A,#N/A,TRUE,"USD-DEM";#N/A,#N/A,TRUE,"FX"}</definedName>
    <definedName name="_xlnm.Database" localSheetId="2">#REF!</definedName>
    <definedName name="_xlnm.Database">#REF!</definedName>
    <definedName name="datum" localSheetId="2">#REF!</definedName>
    <definedName name="datum">#REF!</definedName>
    <definedName name="DatumOdeslani1">#N/A</definedName>
    <definedName name="DatumVytVystup1">#N/A</definedName>
    <definedName name="deposits" localSheetId="2">[12]scenarios!#REF!</definedName>
    <definedName name="deposits">[10]scenarios!#REF!</definedName>
    <definedName name="deposits_volume" localSheetId="2">[12]scenarios!$C$9</definedName>
    <definedName name="deposits_volume">[10]scenarios!$C$9</definedName>
    <definedName name="er" localSheetId="2" hidden="1">{#N/A,#N/A,TRUE,"Tab0201";#N/A,#N/A,TRUE,"Tab0202";#N/A,#N/A,TRUE,"Tab0203"}</definedName>
    <definedName name="er" hidden="1">{#N/A,#N/A,TRUE,"Tab0201";#N/A,#N/A,TRUE,"Tab0202";#N/A,#N/A,TRUE,"Tab0203"}</definedName>
    <definedName name="Euro">[13]Datum!$C$21</definedName>
    <definedName name="EUROKomm" localSheetId="2">#REF!</definedName>
    <definedName name="EUROKomm">#REF!</definedName>
    <definedName name="EUROKurzk" localSheetId="2">#REF!</definedName>
    <definedName name="EUROKurzk">#REF!</definedName>
    <definedName name="f" hidden="1">'[3]#REF'!#REF!</definedName>
    <definedName name="fra_curve">'[4]#REF'!$F$37</definedName>
    <definedName name="fra_dpa">'[4]#REF'!$T$10</definedName>
    <definedName name="fra_tech">'[4]#REF'!$C$37</definedName>
    <definedName name="FRASPOT">'[4]#REF'!$U$10</definedName>
    <definedName name="Freq">'[4]Asset Swap'!$F$58:$F$64</definedName>
    <definedName name="g" localSheetId="2">#REF!</definedName>
    <definedName name="g">#REF!</definedName>
    <definedName name="GBP" localSheetId="2">#REF!</definedName>
    <definedName name="GBP">#REF!</definedName>
    <definedName name="GBP_1">'[5]Waehrung und Datum'!#REF!</definedName>
    <definedName name="GBPDS" localSheetId="2">#REF!</definedName>
    <definedName name="GBPDS">#REF!</definedName>
    <definedName name="gj" localSheetId="2" hidden="1">{#N/A,#N/A,TRUE,"Tab0201";#N/A,#N/A,TRUE,"Tab0202";#N/A,#N/A,TRUE,"Tab0203"}</definedName>
    <definedName name="gj" hidden="1">{#N/A,#N/A,TRUE,"Tab0201";#N/A,#N/A,TRUE,"Tab0202";#N/A,#N/A,TRUE,"Tab0203"}</definedName>
    <definedName name="gloglo" localSheetId="2" hidden="1">{#N/A,#N/A,FALSE,"Tab0501";#N/A,#N/A,FALSE,"Tab0502";#N/A,#N/A,FALSE,"Tab0503";#N/A,#N/A,FALSE,"Tab0504";#N/A,#N/A,FALSE,"Tab0505"}</definedName>
    <definedName name="gloglo" hidden="1">{#N/A,#N/A,FALSE,"Tab0501";#N/A,#N/A,FALSE,"Tab0502";#N/A,#N/A,FALSE,"Tab0503";#N/A,#N/A,FALSE,"Tab0504";#N/A,#N/A,FALSE,"Tab0505"}</definedName>
    <definedName name="graf_portfolio_cz" localSheetId="2" hidden="1">{#N/A,#N/A,TRUE,"FX POSITION and PL Calculation";#N/A,#N/A,TRUE,"USD-DEM";#N/A,#N/A,TRUE,"FX"}</definedName>
    <definedName name="graf_portfolio_cz" hidden="1">{#N/A,#N/A,TRUE,"FX POSITION and PL Calculation";#N/A,#N/A,TRUE,"USD-DEM";#N/A,#N/A,TRUE,"FX"}</definedName>
    <definedName name="h" localSheetId="2" hidden="1">{#N/A,#N/A,FALSE,"Tab0501";#N/A,#N/A,FALSE,"Tab0502";#N/A,#N/A,FALSE,"Tab0503";#N/A,#N/A,FALSE,"Tab0504";#N/A,#N/A,FALSE,"Tab0505"}</definedName>
    <definedName name="h" hidden="1">{#N/A,#N/A,FALSE,"Tab0501";#N/A,#N/A,FALSE,"Tab0502";#N/A,#N/A,FALSE,"Tab0503";#N/A,#N/A,FALSE,"Tab0504";#N/A,#N/A,FALSE,"Tab0505"}</definedName>
    <definedName name="Habahaba" localSheetId="2" hidden="1">{#N/A,#N/A,TRUE,"FX POSITION and PL Calculation";#N/A,#N/A,TRUE,"USD-DEM";#N/A,#N/A,TRUE,"FX"}</definedName>
    <definedName name="Habahaba" hidden="1">{#N/A,#N/A,TRUE,"FX POSITION and PL Calculation";#N/A,#N/A,TRUE,"USD-DEM";#N/A,#N/A,TRUE,"FX"}</definedName>
    <definedName name="hjkl" hidden="1">'[3]#REF'!#REF!</definedName>
    <definedName name="HRK" localSheetId="2">#REF!</definedName>
    <definedName name="HRK">#REF!</definedName>
    <definedName name="HRK_1">'[5]Waehrung und Datum'!#REF!</definedName>
    <definedName name="HRKDS" localSheetId="2">#REF!</definedName>
    <definedName name="HRKDS">#REF!</definedName>
    <definedName name="HUF" localSheetId="2">#REF!</definedName>
    <definedName name="HUF">#REF!</definedName>
    <definedName name="HUF_1">'[5]Waehrung und Datum'!#REF!</definedName>
    <definedName name="HUFDS" localSheetId="2">#REF!</definedName>
    <definedName name="HUFDS">#REF!</definedName>
    <definedName name="Jan_2001">'[7]Kommentar GuV-Positionen'!$B$51:$C$58,'[7]Kommentar GuV-Positionen'!$B$60:$C$62,'[7]Kommentar GuV-Positionen'!$F$51:$G$58,'[7]Kommentar GuV-Positionen'!$F$60:$G$62,'[7]Kommentar GuV-Positionen'!$I$51:$I$63</definedName>
    <definedName name="jk" localSheetId="2" hidden="1">{#N/A,#N/A,TRUE,"Tab0201";#N/A,#N/A,TRUE,"Tab0202";#N/A,#N/A,TRUE,"Tab0203"}</definedName>
    <definedName name="jk" hidden="1">{#N/A,#N/A,TRUE,"Tab0201";#N/A,#N/A,TRUE,"Tab0202";#N/A,#N/A,TRUE,"Tab0203"}</definedName>
    <definedName name="jkl" hidden="1">[14]Sheet1!#REF!</definedName>
    <definedName name="KopierberHE">'[7]Kommentar GuV-Positionen'!$B$91:$C$93,'[7]Kommentar GuV-Positionen'!$B$95:$C$97,'[7]Kommentar GuV-Positionen'!$F$91:$G$93,'[7]Kommentar GuV-Positionen'!$F$95:$G$97,'[7]Kommentar GuV-Positionen'!$I$91:$I$98,'[7]Kommentar GuV-Positionen'!$B$114:$C$122,'[7]Kommentar GuV-Positionen'!$F$114:$G$122</definedName>
    <definedName name="KopierberKomm">'[7]Kommentar GuV-Positionen'!$B$12:$C$19,'[7]Kommentar GuV-Positionen'!$F$12:$G$19,'[7]Kommentar GuV-Positionen'!$I$12:$I$20,'[7]Kommentar GuV-Positionen'!$B$51:$C$58,'[7]Kommentar GuV-Positionen'!$B$60:$C$62,'[7]Kommentar GuV-Positionen'!$F$51:$G$58,'[7]Kommentar GuV-Positionen'!$F$60:$G$62,'[7]Kommentar GuV-Positionen'!$I$59:$I$63,'[7]Kommentar GuV-Positionen'!$B$91:$C$93,'[7]Kommentar GuV-Positionen'!$B$95:$C$97,'[7]Kommentar GuV-Positionen'!$F$91:$G$93,'[7]Kommentar GuV-Positionen'!$I$91:$I$93,'[7]Kommentar GuV-Positionen'!$F$95:$G$97,'[7]Kommentar GuV-Positionen'!$I$95:$I$97,'[7]Kommentar GuV-Positionen'!$B$114:$C$122,'[7]Kommentar GuV-Positionen'!$G$114:$G$122,'[7]Kommentar GuV-Positionen'!$F$123,'[7]Kommentar GuV-Positionen'!$I$123,'[7]Kommentar GuV-Positionen'!$B$132:$C$134,'[7]Kommentar GuV-Positionen'!$F$132:$G$134,'[7]Kommentar GuV-Positionen'!$I$132:$I$134</definedName>
    <definedName name="KopierberKurzK">[7]Kurzkommentar!$B$29:$C$32,[7]Kurzkommentar!$F$29:$G$32,[7]Kurzkommentar!$I$29:$I$33</definedName>
    <definedName name="KopierberProv">'[7]Kommentar GuV-Positionen'!$B$51:$C$58,'[7]Kommentar GuV-Positionen'!$B$60:$C$62,'[7]Kommentar GuV-Positionen'!$F$51:$G$58,'[7]Kommentar GuV-Positionen'!$F$60:$G$62,'[7]Kommentar GuV-Positionen'!$I$51:$I$63</definedName>
    <definedName name="KopierberSoErf">'[7]Kommentar GuV-Positionen'!$B$170:$C$173,'[7]Kommentar GuV-Positionen'!$B$175:$C$177,'[7]Kommentar GuV-Positionen'!$F$170:$G$173,'[7]Kommentar GuV-Positionen'!$F$175:$G$177,'[7]Kommentar GuV-Positionen'!$I$170:$I$173,'[7]Kommentar GuV-Positionen'!$I$175:$I$177</definedName>
    <definedName name="KopierberVerw">'[7]Kommentar GuV-Positionen'!$B$132:$C$134,'[7]Kommentar GuV-Positionen'!$B$136:$C$138,'[7]Kommentar GuV-Positionen'!$F$132:$G$134,'[7]Kommentar GuV-Positionen'!$F$136:$G$138,'[7]Kommentar GuV-Positionen'!$I$132:$I$134,'[7]Kommentar GuV-Positionen'!$I$136:$I$138</definedName>
    <definedName name="KopierberZS">'[7]Kommentar GuV-Positionen'!$B$12:$C$19,'[7]Kommentar GuV-Positionen'!$F$12:$G$19,'[7]Kommentar GuV-Positionen'!$I$12:$I$19</definedName>
    <definedName name="KRBER1__Anzahl_und_Volumen_nach_Vertrieb">[15]KRBER1__Anzahl_und_Volumen_nach!#REF!</definedName>
    <definedName name="KRBER1b__Volumen_nach_Bonität" localSheetId="2">#REF!</definedName>
    <definedName name="KRBER1b__Volumen_nach_Bonität">#REF!</definedName>
    <definedName name="KRBER2__Volumen_nach_Vertrieb_und_Bonität" localSheetId="2">#REF!</definedName>
    <definedName name="KRBER2__Volumen_nach_Vertrieb_und_Bonität">#REF!</definedName>
    <definedName name="KRBER3b__3_und_Text">#REF!</definedName>
    <definedName name="KRBER4__Volumen_nach_Branchen_und_Bonität" localSheetId="2">#REF!</definedName>
    <definedName name="KRBER4__Volumen_nach_Branchen_und_Bonität">#REF!</definedName>
    <definedName name="krysa" localSheetId="2" hidden="1">#N/A</definedName>
    <definedName name="krysa" hidden="1">#N/A</definedName>
    <definedName name="KUVGL1__Bonitätsmigration_Obligo" localSheetId="2">#REF!</definedName>
    <definedName name="KUVGL1__Bonitätsmigration_Obligo">#REF!</definedName>
    <definedName name="Kvak" localSheetId="2" hidden="1">'[3]#REF'!#REF!</definedName>
    <definedName name="Kvak" hidden="1">'[3]#REF'!#REF!</definedName>
    <definedName name="Kvak1" localSheetId="2" hidden="1">'[3]#REF'!#REF!</definedName>
    <definedName name="Kvak1" hidden="1">'[3]#REF'!#REF!</definedName>
    <definedName name="Kvak2" localSheetId="2" hidden="1">'[3]#REF'!#REF!</definedName>
    <definedName name="Kvak2" hidden="1">'[3]#REF'!#REF!</definedName>
    <definedName name="kvakozrout" localSheetId="2" hidden="1">{#N/A,#N/A,TRUE,"FX POSITION and PL Calculation";#N/A,#N/A,TRUE,"USD-DEM";#N/A,#N/A,TRUE,"FX"}</definedName>
    <definedName name="kvakozrout" hidden="1">{#N/A,#N/A,TRUE,"FX POSITION and PL Calculation";#N/A,#N/A,TRUE,"USD-DEM";#N/A,#N/A,TRUE,"FX"}</definedName>
    <definedName name="l">[13]Datum!$C$21</definedName>
    <definedName name="Leasing_CS" localSheetId="2" hidden="1">#N/A</definedName>
    <definedName name="Leasing_CS" hidden="1">#N/A</definedName>
    <definedName name="leasing2" localSheetId="2">'[16]Leasing vozidla'!#REF!</definedName>
    <definedName name="leasing2">'[16]Leasing vozidla'!#REF!</definedName>
    <definedName name="ll">[13]Datum!$C$21</definedName>
    <definedName name="loans" localSheetId="2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loans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lů" localSheetId="2" hidden="1">{#N/A,#N/A,FALSE,"Tab0501";#N/A,#N/A,FALSE,"Tab0502";#N/A,#N/A,FALSE,"Tab0503";#N/A,#N/A,FALSE,"Tab0504";#N/A,#N/A,FALSE,"Tab0505"}</definedName>
    <definedName name="lů" hidden="1">{#N/A,#N/A,FALSE,"Tab0501";#N/A,#N/A,FALSE,"Tab0502";#N/A,#N/A,FALSE,"Tab0503";#N/A,#N/A,FALSE,"Tab0504";#N/A,#N/A,FALSE,"Tab0505"}</definedName>
    <definedName name="_xlnm.Recorder" localSheetId="2">#REF!</definedName>
    <definedName name="_xlnm.Recorder">#REF!</definedName>
    <definedName name="marketmon" localSheetId="2">#REF!</definedName>
    <definedName name="marketmon">#REF!</definedName>
    <definedName name="mesic" localSheetId="2">#REF!</definedName>
    <definedName name="mesic">#REF!</definedName>
    <definedName name="MP" localSheetId="2">#REF!</definedName>
    <definedName name="MP">#REF!</definedName>
    <definedName name="MPR_česky" localSheetId="2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MPR_česky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New" localSheetId="2" hidden="1">{#N/A,#N/A,TRUE,"Tab0201";#N/A,#N/A,TRUE,"Tab0202";#N/A,#N/A,TRUE,"Tab0203"}</definedName>
    <definedName name="New" hidden="1">{#N/A,#N/A,TRUE,"Tab0201";#N/A,#N/A,TRUE,"Tab0202";#N/A,#N/A,TRUE,"Tab0203"}</definedName>
    <definedName name="nmnm">[1]PlanMon!$C$5</definedName>
    <definedName name="nn">[13]Datum!$C$21</definedName>
    <definedName name="nnnn">[13]Datum!$C$21</definedName>
    <definedName name="nnnnJ">[13]Datum!$C$21</definedName>
    <definedName name="nnnnl">[13]Datum!$C$21</definedName>
    <definedName name="nnnnm">[13]Datum!$C$21</definedName>
    <definedName name="Nová">#REF!</definedName>
    <definedName name="ObdobiKumulativu1">#N/A</definedName>
    <definedName name="_xlnm.Print_Area">#N/A</definedName>
    <definedName name="omr" localSheetId="2">[10]scenarios!$C$4</definedName>
    <definedName name="omr">[10]scenarios!$C$4</definedName>
    <definedName name="p_Index">[17]Welcome!$A$1:$M$34</definedName>
    <definedName name="pizduch" localSheetId="2" hidden="1">{#N/A,#N/A,TRUE,"Tab0201";#N/A,#N/A,TRUE,"Tab0202";#N/A,#N/A,TRUE,"Tab0203"}</definedName>
    <definedName name="pizduch" hidden="1">{#N/A,#N/A,TRUE,"Tab0201";#N/A,#N/A,TRUE,"Tab0202";#N/A,#N/A,TRUE,"Tab0203"}</definedName>
    <definedName name="PLN" localSheetId="2">#REF!</definedName>
    <definedName name="PLN">#REF!</definedName>
    <definedName name="PLN_1">'[5]Waehrung und Datum'!#REF!</definedName>
    <definedName name="PLNDS" localSheetId="2">#REF!</definedName>
    <definedName name="PLNDS">#REF!</definedName>
    <definedName name="pokladniční_pouk" localSheetId="2">#REF!</definedName>
    <definedName name="pokladniční_pouk">#REF!</definedName>
    <definedName name="portfolioRFforecast2001" localSheetId="2" hidden="1">{#N/A,#N/A,TRUE,"FX POSITION and PL Calculation";#N/A,#N/A,TRUE,"USD-DEM";#N/A,#N/A,TRUE,"FX"}</definedName>
    <definedName name="portfolioRFforecast2001" hidden="1">{#N/A,#N/A,TRUE,"FX POSITION and PL Calculation";#N/A,#N/A,TRUE,"USD-DEM";#N/A,#N/A,TRUE,"FX"}</definedName>
    <definedName name="Potkan" localSheetId="2" hidden="1">'[18]Macro (2)'!MPR_česky()</definedName>
    <definedName name="Potkan" hidden="1">Main.SAPF4Help()</definedName>
    <definedName name="profit_for_the_year" localSheetId="2">[10]scenarios!$C$10</definedName>
    <definedName name="profit_for_the_year">[10]scenarios!$C$10</definedName>
    <definedName name="q" localSheetId="2" hidden="1">{#N/A,#N/A,TRUE,"FX POSITION and PL Calculation";#N/A,#N/A,TRUE,"USD-DEM";#N/A,#N/A,TRUE,"FX"}</definedName>
    <definedName name="q" hidden="1">{#N/A,#N/A,TRUE,"FX POSITION and PL Calculation";#N/A,#N/A,TRUE,"USD-DEM";#N/A,#N/A,TRUE,"FX"}</definedName>
    <definedName name="qeweq" localSheetId="2" hidden="1">{#N/A,#N/A,TRUE,"FX POSITION and PL Calculation";#N/A,#N/A,TRUE,"USD-DEM";#N/A,#N/A,TRUE,"FX"}</definedName>
    <definedName name="qeweq" hidden="1">{#N/A,#N/A,TRUE,"FX POSITION and PL Calculation";#N/A,#N/A,TRUE,"USD-DEM";#N/A,#N/A,TRUE,"FX"}</definedName>
    <definedName name="Quarterly_IS">'[8]Financials &amp; ratios LCY'!$B$202:$BM$349</definedName>
    <definedName name="qvok" localSheetId="2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qvok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qw" localSheetId="2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qw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qwe" hidden="1">[14]Sheet1!#REF!</definedName>
    <definedName name="qwetyuii" localSheetId="2" hidden="1">{#N/A,#N/A,FALSE,"Tab0501";#N/A,#N/A,FALSE,"Tab0502";#N/A,#N/A,FALSE,"Tab0503";#N/A,#N/A,FALSE,"Tab0504";#N/A,#N/A,FALSE,"Tab0505"}</definedName>
    <definedName name="qwetyuii" hidden="1">{#N/A,#N/A,FALSE,"Tab0501";#N/A,#N/A,FALSE,"Tab0502";#N/A,#N/A,FALSE,"Tab0503";#N/A,#N/A,FALSE,"Tab0504";#N/A,#N/A,FALSE,"Tab0505"}</definedName>
    <definedName name="qwweq" localSheetId="2" hidden="1">#N/A</definedName>
    <definedName name="qwweq" hidden="1">{#VALUE!,#N/A,FALSE,0;#N/A,#N/A,FALSE,0;#N/A,#N/A,FALSE,0;#N/A,#N/A,FALSE,0;#N/A,#N/A,FALSE,0}</definedName>
    <definedName name="rates_cut" localSheetId="2">[10]scenarios!$C$5</definedName>
    <definedName name="rates_cut">[10]scenarios!$C$5</definedName>
    <definedName name="rates_decrease" localSheetId="2">[10]scenarios!$C$6</definedName>
    <definedName name="rates_decrease">[10]scenarios!$C$6</definedName>
    <definedName name="Ref_1" localSheetId="2">#REF!</definedName>
    <definedName name="Ref_1">#REF!</definedName>
    <definedName name="Ref_2" localSheetId="2">#REF!</definedName>
    <definedName name="Ref_2">#REF!</definedName>
    <definedName name="Ref_3" localSheetId="2">#REF!</definedName>
    <definedName name="Ref_3">#REF!</definedName>
    <definedName name="REFBAN1">#N/A</definedName>
    <definedName name="REFNAZBAN1">#N/A</definedName>
    <definedName name="REFOBD1">#N/A</definedName>
    <definedName name="ROE">[19]DDM!#REF!</definedName>
    <definedName name="Runden">[20]CPI!$D$21</definedName>
    <definedName name="rz" localSheetId="2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rz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S">[21]vekofky!#REF!</definedName>
    <definedName name="SAPFuncF4Help" localSheetId="2" hidden="1">'[18]Macro (2)'!MPR_česky()</definedName>
    <definedName name="SAPFuncF4Help" hidden="1">Main.SAPF4Help()</definedName>
    <definedName name="sdfsfsa" localSheetId="2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sdfsfsa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SIT" localSheetId="2">#REF!</definedName>
    <definedName name="SIT">#REF!</definedName>
    <definedName name="SIT_1">'[5]Waehrung und Datum'!#REF!</definedName>
    <definedName name="SITDS" localSheetId="2">#REF!</definedName>
    <definedName name="SITDS">#REF!</definedName>
    <definedName name="SKK" localSheetId="2">#REF!</definedName>
    <definedName name="SKK">#REF!</definedName>
    <definedName name="SKK_1">'[5]Waehrung und Datum'!#REF!</definedName>
    <definedName name="SKK1.1">[22]Waehrung!$D$13</definedName>
    <definedName name="SKKDS" localSheetId="2">#REF!</definedName>
    <definedName name="SKKDS">#REF!</definedName>
    <definedName name="T">[21]vekofky!#REF!</definedName>
    <definedName name="table">'[23]Rec Data'!$A$27:$M$31</definedName>
    <definedName name="table1">'[11]Rec Data'!$A$27:$M$31</definedName>
    <definedName name="table2">'[23]Rec Data'!$A$44:$M$48</definedName>
    <definedName name="tchor" localSheetId="2" hidden="1">{#N/A,#N/A,TRUE,"FX POSITION and PL Calculation";#N/A,#N/A,TRUE,"USD-DEM";#N/A,#N/A,TRUE,"FX"}</definedName>
    <definedName name="tchor" hidden="1">{#N/A,#N/A,TRUE,"FX POSITION and PL Calculation";#N/A,#N/A,TRUE,"USD-DEM";#N/A,#N/A,TRUE,"FX"}</definedName>
    <definedName name="Term_Balances" localSheetId="2">#REF!</definedName>
    <definedName name="Term_Balances">#REF!</definedName>
    <definedName name="Term_Headroom" localSheetId="2">#REF!</definedName>
    <definedName name="Term_Headroom">#REF!</definedName>
    <definedName name="Term_Limits" localSheetId="2">#REF!</definedName>
    <definedName name="Term_Limits">#REF!</definedName>
    <definedName name="Test">[17]EBS!$I$1:$K$93</definedName>
    <definedName name="TextRefCopy1" localSheetId="2">#REF!</definedName>
    <definedName name="TextRefCopy1">#REF!</definedName>
    <definedName name="TextRefCopy2">'[24](C) Good vs Bad 003'!#REF!</definedName>
    <definedName name="TextRefCopy3" localSheetId="2">#REF!</definedName>
    <definedName name="TextRefCopy3">#REF!</definedName>
    <definedName name="TextRefCopy4">'[24](C) Good vs Bad 003'!#REF!</definedName>
    <definedName name="TextRefCopy41" localSheetId="2">'[25]Leasing vozidla'!#REF!</definedName>
    <definedName name="TextRefCopy41">'[25]Leasing vozidla'!#REF!</definedName>
    <definedName name="TextRefCopy5" localSheetId="2">#REF!</definedName>
    <definedName name="TextRefCopy5">#REF!</definedName>
    <definedName name="TextRefCopy6" localSheetId="2">#REF!</definedName>
    <definedName name="TextRefCopy6">#REF!</definedName>
    <definedName name="TextRefCopy7" localSheetId="2">#REF!</definedName>
    <definedName name="TextRefCopy7">#REF!</definedName>
    <definedName name="TextRefCopy8" localSheetId="2">#REF!</definedName>
    <definedName name="TextRefCopy8">#REF!</definedName>
    <definedName name="TextRefCopyRangeCount" hidden="1">2</definedName>
    <definedName name="THRESHOLD_LIMITATION" localSheetId="2">#REF!</definedName>
    <definedName name="THRESHOLD_LIMITATION">#REF!</definedName>
    <definedName name="THRESHOLD_percent" localSheetId="2">#REF!</definedName>
    <definedName name="THRESHOLD_percent">#REF!</definedName>
    <definedName name="tl" localSheetId="2">#REF!</definedName>
    <definedName name="tl">#REF!</definedName>
    <definedName name="trdlo" localSheetId="2" hidden="1">'[18]Macro (2)'!MPR_česky()</definedName>
    <definedName name="trdlo" hidden="1">Main.SAPF4Help()</definedName>
    <definedName name="tretetteteet" localSheetId="2" hidden="1">{#N/A,#N/A,TRUE,"Tab0201";#N/A,#N/A,TRUE,"Tab0202";#N/A,#N/A,TRUE,"Tab0203"}</definedName>
    <definedName name="tretetteteet" hidden="1">{#N/A,#N/A,TRUE,"Tab0201";#N/A,#N/A,TRUE,"Tab0202";#N/A,#N/A,TRUE,"Tab0203"}</definedName>
    <definedName name="vb" localSheetId="2" hidden="1">{#N/A,#N/A,TRUE,"FX POSITION and PL Calculation";#N/A,#N/A,TRUE,"USD-DEM";#N/A,#N/A,TRUE,"FX"}</definedName>
    <definedName name="vb" hidden="1">{#N/A,#N/A,TRUE,"FX POSITION and PL Calculation";#N/A,#N/A,TRUE,"USD-DEM";#N/A,#N/A,TRUE,"FX"}</definedName>
    <definedName name="w" localSheetId="2" hidden="1">{#N/A,#N/A,TRUE,"Tab0201";#N/A,#N/A,TRUE,"Tab0202";#N/A,#N/A,TRUE,"Tab0203"}</definedName>
    <definedName name="w" hidden="1">{#N/A,#N/A,TRUE,"Tab0201";#N/A,#N/A,TRUE,"Tab0202";#N/A,#N/A,TRUE,"Tab0203"}</definedName>
    <definedName name="we" localSheetId="2" hidden="1">{#N/A,#N/A,TRUE,"Tab0201";#N/A,#N/A,TRUE,"Tab0202";#N/A,#N/A,TRUE,"Tab0203"}</definedName>
    <definedName name="we" hidden="1">{#N/A,#N/A,TRUE,"Tab0201";#N/A,#N/A,TRUE,"Tab0202";#N/A,#N/A,TRUE,"Tab0203"}</definedName>
    <definedName name="wrn.end." localSheetId="2" hidden="1">{#N/A,#N/A,TRUE,"FX POSITION and PL Calculation";#N/A,#N/A,TRUE,"USD-DEM";#N/A,#N/A,TRUE,"FX"}</definedName>
    <definedName name="wrn.end." hidden="1">{#N/A,#N/A,TRUE,"FX POSITION and PL Calculation";#N/A,#N/A,TRUE,"USD-DEM";#N/A,#N/A,TRUE,"FX"}</definedName>
    <definedName name="wrn.Presentační._.sestava." localSheetId="2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wrn.Presentační._.sestava.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wrn.RISIFE40." localSheetId="2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wrn.RISIFE40.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wrn.Tab02." localSheetId="2" hidden="1">{#N/A,#N/A,TRUE,"Tab0201";#N/A,#N/A,TRUE,"Tab0202";#N/A,#N/A,TRUE,"Tab0203"}</definedName>
    <definedName name="wrn.Tab02." hidden="1">{#N/A,#N/A,TRUE,"Tab0201";#N/A,#N/A,TRUE,"Tab0202";#N/A,#N/A,TRUE,"Tab0203"}</definedName>
    <definedName name="wrn.tab05." localSheetId="2" hidden="1">{#N/A,#N/A,FALSE,"Tab0501";#N/A,#N/A,FALSE,"Tab0502";#N/A,#N/A,FALSE,"Tab0503";#N/A,#N/A,FALSE,"Tab0504";#N/A,#N/A,FALSE,"Tab0505"}</definedName>
    <definedName name="wrn.tab05." hidden="1">{#N/A,#N/A,FALSE,"Tab0501";#N/A,#N/A,FALSE,"Tab0502";#N/A,#N/A,FALSE,"Tab0503";#N/A,#N/A,FALSE,"Tab0504";#N/A,#N/A,FALSE,"Tab0505"}</definedName>
    <definedName name="wwww" localSheetId="2">#REF!</definedName>
    <definedName name="wwww">#REF!</definedName>
    <definedName name="YieldAccr">[4]Swaptions!$B$67</definedName>
    <definedName name="YieldConvFactor">[4]Swaptions!$C$67</definedName>
    <definedName name="YTD_IS">'[8]Financials &amp; ratios LCY'!$B$49:$BM$130</definedName>
    <definedName name="yx" localSheetId="2" hidden="1">{#N/A,#N/A,FALSE,"Tab0501";#N/A,#N/A,FALSE,"Tab0502";#N/A,#N/A,FALSE,"Tab0503";#N/A,#N/A,FALSE,"Tab0504";#N/A,#N/A,FALSE,"Tab0505"}</definedName>
    <definedName name="yx" hidden="1">{#N/A,#N/A,FALSE,"Tab0501";#N/A,#N/A,FALSE,"Tab0502";#N/A,#N/A,FALSE,"Tab0503";#N/A,#N/A,FALSE,"Tab0504";#N/A,#N/A,FALSE,"Tab0505"}</definedName>
    <definedName name="ZahlenformatKomm">'[7]Kommentar GuV-Positionen'!$B$12:$D$20,'[7]Kommentar GuV-Positionen'!$F$12:$I$20,'[7]Kommentar GuV-Positionen'!$B$51:$D$63,'[7]Kommentar GuV-Positionen'!$F$51:$I$63,'[7]Kommentar GuV-Positionen'!$B$91:$D$98,'[7]Kommentar GuV-Positionen'!$F$91:$I$98</definedName>
    <definedName name="ZahlenformatKomm1">'[7]Kommentar GuV-Positionen'!$B$12:$D$20,'[7]Kommentar GuV-Positionen'!$F$12:$I$20,'[7]Kommentar GuV-Positionen'!$B$51:$D$63,'[7]Kommentar GuV-Positionen'!$F$51:$I$63,'[7]Kommentar GuV-Positionen'!$B$91:$D$98,'[7]Kommentar GuV-Positionen'!$F$91:$I$98</definedName>
    <definedName name="ZahlenformatKomm2">'[7]Kommentar GuV-Positionen'!$B$114:$D$123,'[7]Kommentar GuV-Positionen'!$F$114:$H$123,'[7]Kommentar GuV-Positionen'!$I$123,'[7]Kommentar GuV-Positionen'!$B$132:$D$139,'[7]Kommentar GuV-Positionen'!$F$132:$I$139,'[7]Kommentar GuV-Positionen'!$B$170:$D$178,'[7]Kommentar GuV-Positionen'!$F$170:$I$178</definedName>
    <definedName name="ZahlenformatKurzK">[7]Kurzkommentar!$B$29:$D$33,[7]Kurzkommentar!$F$29:$I$33</definedName>
    <definedName name="zluva" localSheetId="2" hidden="1">'[18]Macro (2)'!MPR_česky()</definedName>
    <definedName name="zluva" hidden="1">Main.SAPF4Help()</definedName>
    <definedName name="zxc" localSheetId="2" hidden="1">{#N/A,#N/A,TRUE,"Tab0201";#N/A,#N/A,TRUE,"Tab0202";#N/A,#N/A,TRUE,"Tab0203"}</definedName>
    <definedName name="zxc" hidden="1">{#N/A,#N/A,TRUE,"Tab0201";#N/A,#N/A,TRUE,"Tab0202";#N/A,#N/A,TRUE,"Tab0203"}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cen28466</author>
    <author>Eva Čulíková</author>
    <author>cen10766</author>
    <author>cen34995</author>
    <author>Boček Josef</author>
    <author>Sedmera Roman</author>
    <author>Sadlek Michal</author>
    <author>Antošová Vlasta</author>
    <author>Havlíčková Barbora</author>
  </authors>
  <commentList>
    <comment ref="F11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>data as of 1.1.2004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G11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data as of 1.4.2004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I11" authorId="0" shapeId="0" xr:uid="{00000000-0006-0000-0100-000003000000}">
      <text>
        <r>
          <rPr>
            <b/>
            <sz val="8"/>
            <color indexed="81"/>
            <rFont val="Tahoma"/>
            <family val="2"/>
            <charset val="238"/>
          </rPr>
          <t>data as of 1.10.2004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J11" authorId="0" shapeId="0" xr:uid="{00000000-0006-0000-0100-000004000000}">
      <text>
        <r>
          <rPr>
            <b/>
            <sz val="8"/>
            <color indexed="81"/>
            <rFont val="Tahoma"/>
            <family val="2"/>
            <charset val="238"/>
          </rPr>
          <t>data as of 1.1.2005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K11" authorId="0" shapeId="0" xr:uid="{00000000-0006-0000-0100-000005000000}">
      <text>
        <r>
          <rPr>
            <b/>
            <sz val="8"/>
            <color indexed="81"/>
            <rFont val="Tahoma"/>
            <family val="2"/>
            <charset val="238"/>
          </rPr>
          <t>data as of 1.4.2005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L11" authorId="0" shapeId="0" xr:uid="{00000000-0006-0000-0100-000006000000}">
      <text>
        <r>
          <rPr>
            <b/>
            <sz val="8"/>
            <color indexed="81"/>
            <rFont val="Tahoma"/>
            <family val="2"/>
            <charset val="238"/>
          </rPr>
          <t>data as of 1.7.2005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M11" authorId="0" shapeId="0" xr:uid="{00000000-0006-0000-0100-000007000000}">
      <text>
        <r>
          <rPr>
            <b/>
            <sz val="8"/>
            <color indexed="81"/>
            <rFont val="Tahoma"/>
            <family val="2"/>
            <charset val="238"/>
          </rPr>
          <t>data as of 1.10.2005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N11" authorId="0" shapeId="0" xr:uid="{00000000-0006-0000-0100-000008000000}">
      <text>
        <r>
          <rPr>
            <b/>
            <sz val="8"/>
            <color indexed="81"/>
            <rFont val="Tahoma"/>
            <family val="2"/>
            <charset val="238"/>
          </rPr>
          <t>data as of 1.1.2006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O11" authorId="0" shapeId="0" xr:uid="{00000000-0006-0000-0100-000009000000}">
      <text>
        <r>
          <rPr>
            <b/>
            <sz val="8"/>
            <color indexed="81"/>
            <rFont val="Tahoma"/>
            <family val="2"/>
            <charset val="238"/>
          </rPr>
          <t>data as of 1.4.2006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P11" authorId="1" shapeId="0" xr:uid="{00000000-0006-0000-0100-00000A000000}">
      <text>
        <r>
          <rPr>
            <b/>
            <sz val="8"/>
            <color indexed="81"/>
            <rFont val="Tahoma"/>
            <family val="2"/>
            <charset val="238"/>
          </rPr>
          <t>data as of 1. 7. 2006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Q11" authorId="0" shapeId="0" xr:uid="{00000000-0006-0000-0100-00000B000000}">
      <text>
        <r>
          <rPr>
            <b/>
            <sz val="8"/>
            <color indexed="81"/>
            <rFont val="Tahoma"/>
            <family val="2"/>
            <charset val="238"/>
          </rPr>
          <t>data as of 1.10.2006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R11" authorId="1" shapeId="0" xr:uid="{00000000-0006-0000-0100-00000C000000}">
      <text>
        <r>
          <rPr>
            <b/>
            <sz val="8"/>
            <color indexed="81"/>
            <rFont val="Tahoma"/>
            <family val="2"/>
            <charset val="238"/>
          </rPr>
          <t>Eva Čulíková:</t>
        </r>
        <r>
          <rPr>
            <sz val="8"/>
            <color indexed="81"/>
            <rFont val="Tahoma"/>
            <family val="2"/>
            <charset val="238"/>
          </rPr>
          <t xml:space="preserve">
data as of 1.1.2007</t>
        </r>
      </text>
    </comment>
    <comment ref="S11" authorId="0" shapeId="0" xr:uid="{00000000-0006-0000-0100-00000D000000}">
      <text>
        <r>
          <rPr>
            <b/>
            <sz val="8"/>
            <color indexed="81"/>
            <rFont val="Tahoma"/>
            <family val="2"/>
            <charset val="238"/>
          </rPr>
          <t>data k 1.4.200</t>
        </r>
        <r>
          <rPr>
            <sz val="8"/>
            <color indexed="81"/>
            <rFont val="Tahoma"/>
            <family val="2"/>
            <charset val="238"/>
          </rPr>
          <t>7</t>
        </r>
      </text>
    </comment>
    <comment ref="T11" authorId="2" shapeId="0" xr:uid="{00000000-0006-0000-0100-00000E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data k 1.7.2007</t>
        </r>
      </text>
    </comment>
    <comment ref="U11" authorId="2" shapeId="0" xr:uid="{00000000-0006-0000-0100-00000F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k 1.10.2007</t>
        </r>
      </text>
    </comment>
    <comment ref="V11" authorId="2" shapeId="0" xr:uid="{00000000-0006-0000-0100-000010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data as of Jan 1, 2008</t>
        </r>
      </text>
    </comment>
    <comment ref="W11" authorId="2" shapeId="0" xr:uid="{00000000-0006-0000-0100-000011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April 1, 2008
</t>
        </r>
      </text>
    </comment>
    <comment ref="X11" authorId="2" shapeId="0" xr:uid="{00000000-0006-0000-0100-000012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k 1.7.2008
</t>
        </r>
      </text>
    </comment>
    <comment ref="Y11" authorId="2" shapeId="0" xr:uid="{00000000-0006-0000-0100-000013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k 1.10.2008
</t>
        </r>
      </text>
    </comment>
    <comment ref="Z11" authorId="2" shapeId="0" xr:uid="{00000000-0006-0000-0100-000014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January 1, 2009
</t>
        </r>
      </text>
    </comment>
    <comment ref="AA11" authorId="2" shapeId="0" xr:uid="{00000000-0006-0000-0100-000015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April 1, 2009</t>
        </r>
      </text>
    </comment>
    <comment ref="AB11" authorId="2" shapeId="0" xr:uid="{00000000-0006-0000-0100-000016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July 1, 2009
</t>
        </r>
      </text>
    </comment>
    <comment ref="AC11" authorId="2" shapeId="0" xr:uid="{00000000-0006-0000-0100-000017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October 1, 2009</t>
        </r>
      </text>
    </comment>
    <comment ref="AD11" authorId="2" shapeId="0" xr:uid="{00000000-0006-0000-0100-000018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January 1, 2010</t>
        </r>
      </text>
    </comment>
    <comment ref="AE11" authorId="2" shapeId="0" xr:uid="{00000000-0006-0000-0100-000019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January 1, 2010</t>
        </r>
      </text>
    </comment>
    <comment ref="AF11" authorId="2" shapeId="0" xr:uid="{00000000-0006-0000-0100-00001A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April 1, 2010</t>
        </r>
      </text>
    </comment>
    <comment ref="AG11" authorId="2" shapeId="0" xr:uid="{00000000-0006-0000-0100-00001B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April 1, 2010</t>
        </r>
      </text>
    </comment>
    <comment ref="AH11" authorId="2" shapeId="0" xr:uid="{00000000-0006-0000-0100-00001C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July 1, 2010</t>
        </r>
      </text>
    </comment>
    <comment ref="AI11" authorId="2" shapeId="0" xr:uid="{00000000-0006-0000-0100-00001D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July 1, 2010</t>
        </r>
      </text>
    </comment>
    <comment ref="AJ11" authorId="2" shapeId="0" xr:uid="{00000000-0006-0000-0100-00001E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October 1, 2010
</t>
        </r>
      </text>
    </comment>
    <comment ref="AK11" authorId="3" shapeId="0" xr:uid="{00000000-0006-0000-0100-00001F000000}">
      <text>
        <r>
          <rPr>
            <b/>
            <sz val="8"/>
            <color indexed="81"/>
            <rFont val="Tahoma"/>
            <family val="2"/>
            <charset val="238"/>
          </rPr>
          <t>cen34995:</t>
        </r>
        <r>
          <rPr>
            <sz val="8"/>
            <color indexed="81"/>
            <rFont val="Tahoma"/>
            <family val="2"/>
            <charset val="238"/>
          </rPr>
          <t xml:space="preserve">
cen10766:
k 1. říjnu 2010</t>
        </r>
      </text>
    </comment>
    <comment ref="AL11" authorId="2" shapeId="0" xr:uid="{00000000-0006-0000-0100-000020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January 1, 2011
</t>
        </r>
      </text>
    </comment>
    <comment ref="AM11" authorId="2" shapeId="0" xr:uid="{00000000-0006-0000-0100-000021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k 1. lednu 2011
</t>
        </r>
      </text>
    </comment>
    <comment ref="AN11" authorId="2" shapeId="0" xr:uid="{00000000-0006-0000-0100-000022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April 1, 2011</t>
        </r>
      </text>
    </comment>
    <comment ref="AO11" authorId="2" shapeId="0" xr:uid="{00000000-0006-0000-0100-000023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k 1. dubnu 2011</t>
        </r>
      </text>
    </comment>
    <comment ref="AP11" authorId="2" shapeId="0" xr:uid="{00000000-0006-0000-0100-000024000000}">
      <text>
        <r>
          <rPr>
            <b/>
            <sz val="8"/>
            <color indexed="81"/>
            <rFont val="Tahoma"/>
            <family val="2"/>
            <charset val="238"/>
          </rPr>
          <t>cen10766:</t>
        </r>
        <r>
          <rPr>
            <sz val="8"/>
            <color indexed="81"/>
            <rFont val="Tahoma"/>
            <family val="2"/>
            <charset val="238"/>
          </rPr>
          <t xml:space="preserve">
as of July 1, 2011</t>
        </r>
      </text>
    </comment>
    <comment ref="O16" authorId="1" shapeId="0" xr:uid="{00000000-0006-0000-0100-000025000000}">
      <text>
        <r>
          <rPr>
            <b/>
            <sz val="8"/>
            <color indexed="81"/>
            <rFont val="Tahoma"/>
            <family val="2"/>
            <charset val="238"/>
          </rPr>
          <t>Eva Čulíková:</t>
        </r>
        <r>
          <rPr>
            <sz val="8"/>
            <color indexed="81"/>
            <rFont val="Tahoma"/>
            <family val="2"/>
            <charset val="238"/>
          </rPr>
          <t xml:space="preserve">
změna kalkulace z důvodu změny v B/S od r. 2007</t>
        </r>
      </text>
    </comment>
    <comment ref="R16" authorId="1" shapeId="0" xr:uid="{00000000-0006-0000-0100-000026000000}">
      <text>
        <r>
          <rPr>
            <b/>
            <sz val="8"/>
            <color indexed="81"/>
            <rFont val="Tahoma"/>
            <family val="2"/>
            <charset val="238"/>
          </rPr>
          <t>Eva Čulíková:</t>
        </r>
        <r>
          <rPr>
            <sz val="8"/>
            <color indexed="81"/>
            <rFont val="Tahoma"/>
            <family val="2"/>
            <charset val="238"/>
          </rPr>
          <t xml:space="preserve">
změna kalkulace z důvodu změny v B/S od r. 2007</t>
        </r>
      </text>
    </comment>
    <comment ref="S16" authorId="1" shapeId="0" xr:uid="{00000000-0006-0000-0100-000027000000}">
      <text>
        <r>
          <rPr>
            <b/>
            <sz val="8"/>
            <color indexed="81"/>
            <rFont val="Tahoma"/>
            <family val="2"/>
            <charset val="238"/>
          </rPr>
          <t>Eva Čulíková:</t>
        </r>
        <r>
          <rPr>
            <sz val="8"/>
            <color indexed="81"/>
            <rFont val="Tahoma"/>
            <family val="2"/>
            <charset val="238"/>
          </rPr>
          <t xml:space="preserve">
změna kalkulace z důvodu změny v B/S od r. 2007</t>
        </r>
      </text>
    </comment>
    <comment ref="BA17" authorId="4" shapeId="0" xr:uid="{00000000-0006-0000-0100-000028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B17" authorId="4" shapeId="0" xr:uid="{00000000-0006-0000-0100-000029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C17" authorId="4" shapeId="0" xr:uid="{00000000-0006-0000-0100-00002A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D17" authorId="4" shapeId="0" xr:uid="{00000000-0006-0000-0100-00002B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E17" authorId="4" shapeId="0" xr:uid="{00000000-0006-0000-0100-00002C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F17" authorId="4" shapeId="0" xr:uid="{00000000-0006-0000-0100-00002D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G17" authorId="4" shapeId="0" xr:uid="{00000000-0006-0000-0100-00002E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H17" authorId="4" shapeId="0" xr:uid="{00000000-0006-0000-0100-00002F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I17" authorId="4" shapeId="0" xr:uid="{00000000-0006-0000-0100-000030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Newly including payments to deposit insurance fund</t>
        </r>
      </text>
    </comment>
    <comment ref="BL22" authorId="4" shapeId="0" xr:uid="{00000000-0006-0000-0100-000031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Q/Q increase driven by implementation of EBA NPL definition, excluding this NPL would reach 3.5%</t>
        </r>
      </text>
    </comment>
    <comment ref="BM22" authorId="4" shapeId="0" xr:uid="{00000000-0006-0000-0100-000032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according to EBA NPL definition</t>
        </r>
      </text>
    </comment>
    <comment ref="BN22" authorId="4" shapeId="0" xr:uid="{00000000-0006-0000-0100-000033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according to EBA NPL definition</t>
        </r>
      </text>
    </comment>
    <comment ref="BO22" authorId="4" shapeId="0" xr:uid="{00000000-0006-0000-0100-000034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According EBA definition</t>
        </r>
      </text>
    </comment>
    <comment ref="BP22" authorId="4" shapeId="0" xr:uid="{00000000-0006-0000-0100-000035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According EBA definition</t>
        </r>
      </text>
    </comment>
    <comment ref="BQ22" authorId="4" shapeId="0" xr:uid="{00000000-0006-0000-0100-000036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BR22" authorId="4" shapeId="0" xr:uid="{00000000-0006-0000-0100-000037000000}">
      <text>
        <r>
          <rPr>
            <b/>
            <sz val="9"/>
            <color indexed="81"/>
            <rFont val="Tahoma"/>
            <family val="2"/>
            <charset val="238"/>
          </rPr>
          <t>Boček Josef: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BS22" authorId="5" shapeId="0" xr:uid="{00000000-0006-0000-0100-000038000000}">
      <text>
        <r>
          <rPr>
            <b/>
            <sz val="9"/>
            <color indexed="81"/>
            <rFont val="Tahoma"/>
            <family val="2"/>
            <charset val="238"/>
          </rPr>
          <t>Sedmera Roman: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BT22" authorId="5" shapeId="0" xr:uid="{00000000-0006-0000-0100-000039000000}">
      <text>
        <r>
          <rPr>
            <b/>
            <sz val="9"/>
            <color indexed="81"/>
            <rFont val="Tahoma"/>
            <family val="2"/>
            <charset val="238"/>
          </rPr>
          <t>Sedmera Roman: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
</t>
        </r>
      </text>
    </comment>
    <comment ref="BU22" authorId="5" shapeId="0" xr:uid="{00000000-0006-0000-0100-00003A000000}">
      <text>
        <r>
          <rPr>
            <b/>
            <sz val="9"/>
            <color indexed="81"/>
            <rFont val="Tahoma"/>
            <family val="2"/>
            <charset val="238"/>
          </rPr>
          <t>Sedmera Roman: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
</t>
        </r>
      </text>
    </comment>
    <comment ref="BV22" authorId="6" shapeId="0" xr:uid="{00000000-0006-0000-0100-00003B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BW22" authorId="6" shapeId="0" xr:uid="{00000000-0006-0000-0100-00003C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BX22" authorId="6" shapeId="0" xr:uid="{00000000-0006-0000-0100-00003D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BY22" authorId="6" shapeId="0" xr:uid="{00000000-0006-0000-0100-00003E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BZ22" authorId="6" shapeId="0" xr:uid="{00000000-0006-0000-0100-00003F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A22" authorId="6" shapeId="0" xr:uid="{00000000-0006-0000-0100-000040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B22" authorId="6" shapeId="0" xr:uid="{00000000-0006-0000-0100-000041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C22" authorId="6" shapeId="0" xr:uid="{00000000-0006-0000-0100-000042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D22" authorId="6" shapeId="0" xr:uid="{00000000-0006-0000-0100-000043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E22" authorId="6" shapeId="0" xr:uid="{00000000-0006-0000-0100-000044000000}">
      <text>
        <r>
          <rPr>
            <b/>
            <sz val="9"/>
            <color indexed="81"/>
            <rFont val="Tahoma"/>
            <family val="2"/>
            <charset val="238"/>
          </rPr>
          <t>Sadlek Michal: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F22" authorId="7" shapeId="0" xr:uid="{00000000-0006-0000-0100-000045000000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G22" authorId="7" shapeId="0" xr:uid="{00000000-0006-0000-0100-000046000000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H22" authorId="7" shapeId="0" xr:uid="{0126D9F6-7D92-46A6-9939-78CD122C6854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I22" authorId="7" shapeId="0" xr:uid="{9CAE710D-8403-4D9F-83CD-CB915030CA05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J22" authorId="7" shapeId="0" xr:uid="{D24F2B08-3A2A-48D2-8240-A61E228C1176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K22" authorId="7" shapeId="0" xr:uid="{4172AE16-C8A8-41CA-AEA6-8B8CF40845AD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L22" authorId="7" shapeId="0" xr:uid="{B1D6CE98-456C-4524-BAC5-71EFF516521F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M22" authorId="7" shapeId="0" xr:uid="{FF4BCCB2-5C7C-44D5-B289-49CED1E20D79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N22" authorId="7" shapeId="0" xr:uid="{6880F3BF-A189-45E9-9C81-9BE4648C0D84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O22" authorId="7" shapeId="0" xr:uid="{BCB1A7D8-6382-4A1C-85FC-BBEC9BD152C0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P22" authorId="7" shapeId="0" xr:uid="{024C16F8-636F-4154-BDC0-00E02275228F}">
      <text>
        <r>
          <rPr>
            <b/>
            <sz val="9"/>
            <color indexed="81"/>
            <rFont val="Tahoma"/>
            <family val="2"/>
            <charset val="238"/>
          </rPr>
          <t>Antošová Vlasta:</t>
        </r>
        <r>
          <rPr>
            <sz val="9"/>
            <color indexed="81"/>
            <rFont val="Tahoma"/>
            <family val="2"/>
            <charset val="238"/>
          </rPr>
          <t xml:space="preserve">
According to EBA definition</t>
        </r>
      </text>
    </comment>
    <comment ref="CQ22" authorId="8" shapeId="0" xr:uid="{04307874-7C7E-46C3-94CC-E65B7D2C34E8}">
      <text>
        <r>
          <rPr>
            <sz val="9"/>
            <color indexed="81"/>
            <rFont val="Tahoma"/>
            <family val="2"/>
            <charset val="238"/>
          </rPr>
          <t>According to EBA definition</t>
        </r>
      </text>
    </comment>
  </commentList>
</comments>
</file>

<file path=xl/sharedStrings.xml><?xml version="1.0" encoding="utf-8"?>
<sst xmlns="http://schemas.openxmlformats.org/spreadsheetml/2006/main" count="277" uniqueCount="205">
  <si>
    <t>ROAE</t>
  </si>
  <si>
    <t>ROAA</t>
  </si>
  <si>
    <t>Key figures</t>
  </si>
  <si>
    <t>IFRS, consol.</t>
  </si>
  <si>
    <t>Total assets (CZK m)</t>
  </si>
  <si>
    <t>Shareholders´ equity (CZK m)</t>
  </si>
  <si>
    <t>Net profit (CZK m)</t>
  </si>
  <si>
    <t>Number of ATMs</t>
  </si>
  <si>
    <t>Net interest income</t>
  </si>
  <si>
    <t>General administrative expenses</t>
  </si>
  <si>
    <t>Personnel expenses</t>
  </si>
  <si>
    <t>Other administrative expenses</t>
  </si>
  <si>
    <t>Depreciation</t>
  </si>
  <si>
    <t>Total assets</t>
  </si>
  <si>
    <t>Shareholder</t>
  </si>
  <si>
    <t>number of shares</t>
  </si>
  <si>
    <t>% share</t>
  </si>
  <si>
    <t>Total</t>
  </si>
  <si>
    <t>IR calendar</t>
  </si>
  <si>
    <t>IR contacts</t>
  </si>
  <si>
    <t>Net interest margin (interest bearing assets)</t>
  </si>
  <si>
    <t>Number of employees (FTE, Group)</t>
  </si>
  <si>
    <t>Taxes on income</t>
  </si>
  <si>
    <t xml:space="preserve">2) Figures were restated according to new methodology, accrued interest is now integrated in  respective asset and/or liability, interests from securities in trading book and derivatives in banking book included in NII. 
</t>
  </si>
  <si>
    <t>Net fee and commision income</t>
  </si>
  <si>
    <t>Dividend income</t>
  </si>
  <si>
    <t>Rental income from investment properties &amp; other operating leases</t>
  </si>
  <si>
    <t>Gains/losses from financial assets and liabilities not measured at fair value through profit or loss, net</t>
  </si>
  <si>
    <t>Net impairment loss on financial assets not measured at fair value through profit or loss</t>
  </si>
  <si>
    <t>Other operating result</t>
  </si>
  <si>
    <t>Pre-tax result from continuing operations</t>
  </si>
  <si>
    <t>Post-tax result from continuing operations</t>
  </si>
  <si>
    <t>Net result for the period</t>
  </si>
  <si>
    <t>Net result attributable to non-controlling interests</t>
  </si>
  <si>
    <t>Net result attributable to owners of the parent</t>
  </si>
  <si>
    <t>Operating income</t>
  </si>
  <si>
    <t xml:space="preserve">Operating expenses </t>
  </si>
  <si>
    <t xml:space="preserve">Operating result  </t>
  </si>
  <si>
    <t xml:space="preserve">Cost/income ratio </t>
  </si>
  <si>
    <t>Return on allocated capital</t>
  </si>
  <si>
    <t>thereof DIF payments</t>
  </si>
  <si>
    <t>Assets</t>
  </si>
  <si>
    <t>Cash and cash balances</t>
  </si>
  <si>
    <t>Financial assets - held for trading</t>
  </si>
  <si>
    <t>Derivatives</t>
  </si>
  <si>
    <t>Other trading assets</t>
  </si>
  <si>
    <t xml:space="preserve">Financial assets - designated at fair value through profit or loss </t>
  </si>
  <si>
    <t>Financial assets - available-for-sale</t>
  </si>
  <si>
    <t>Financial assets - held to maturity</t>
  </si>
  <si>
    <t>Loans and receivables to credit institutions</t>
  </si>
  <si>
    <t>Loans and receivables to customers</t>
  </si>
  <si>
    <t>Derivatives - hedge accounting</t>
  </si>
  <si>
    <t>Property and equipment</t>
  </si>
  <si>
    <t>Investment properties</t>
  </si>
  <si>
    <t>Intangible assets</t>
  </si>
  <si>
    <t>Current tax assets</t>
  </si>
  <si>
    <t>Deferred tax assets</t>
  </si>
  <si>
    <t>Other assets</t>
  </si>
  <si>
    <t>Liabilities and equity</t>
  </si>
  <si>
    <t>Financial liabilities - held for trading</t>
  </si>
  <si>
    <t>Other trading liabilities</t>
  </si>
  <si>
    <t>Financial liabilities designated at fair value through profit or loss</t>
  </si>
  <si>
    <t>Deposits from customers</t>
  </si>
  <si>
    <t>Debt securities</t>
  </si>
  <si>
    <t>Financial liabilities measured at amortised cost</t>
  </si>
  <si>
    <t>Deposits from banks</t>
  </si>
  <si>
    <t>Provisions</t>
  </si>
  <si>
    <t>Current tax liabilities</t>
  </si>
  <si>
    <t>Deferred tax liabilities</t>
  </si>
  <si>
    <t>Other liabilities</t>
  </si>
  <si>
    <t>Total equity</t>
  </si>
  <si>
    <t>Equity attributable to non-controlling interests</t>
  </si>
  <si>
    <t>Equity attributable to owners of the parent</t>
  </si>
  <si>
    <t>Total liabilities and equity</t>
  </si>
  <si>
    <t>Interest income</t>
  </si>
  <si>
    <t xml:space="preserve"> - from debt securities and other fixed income securities</t>
  </si>
  <si>
    <t xml:space="preserve"> - other interest income</t>
  </si>
  <si>
    <t>Interest expenses</t>
  </si>
  <si>
    <t xml:space="preserve"> - other interest expense</t>
  </si>
  <si>
    <t xml:space="preserve"> - from loans and receivables</t>
  </si>
  <si>
    <t xml:space="preserve"> - from financial liaiblities at amortized costs</t>
  </si>
  <si>
    <t xml:space="preserve"> - from other financial liabilities</t>
  </si>
  <si>
    <t>3M PRIBOR (%)</t>
  </si>
  <si>
    <t>12M PRIBOR (%)</t>
  </si>
  <si>
    <t>Capital adequacy (BIS until June 2007, CNB, i.e. Basel II, from September 2007, from 2014 according to Basel III)</t>
  </si>
  <si>
    <t>Other financial liabilities</t>
  </si>
  <si>
    <t>EGB AG</t>
  </si>
  <si>
    <t>IFRS, cons. CZK m</t>
  </si>
  <si>
    <t>Investments in associates and joint ventures</t>
  </si>
  <si>
    <t>Liabilities associated with assets held for sale</t>
  </si>
  <si>
    <t>Non-current assets classified as held for sale</t>
  </si>
  <si>
    <t>Net trading result</t>
  </si>
  <si>
    <t>Result from financial assets and liabilities designated at FV through profit or loss</t>
  </si>
  <si>
    <t>Note: This time plan is for informational purposes only; terms might be subject to change during the year.</t>
  </si>
  <si>
    <t>Net result from equity method investments</t>
  </si>
  <si>
    <t>Net fee and commission income</t>
  </si>
  <si>
    <t>Gains/losses from financial instruments measured at FV through profit or loss</t>
  </si>
  <si>
    <t>Levies on banking activities</t>
  </si>
  <si>
    <t>Operating expenses</t>
  </si>
  <si>
    <t>Operating result</t>
  </si>
  <si>
    <t>Cost/Income ratio</t>
  </si>
  <si>
    <t xml:space="preserve"> - from financial assets at amortised cost</t>
  </si>
  <si>
    <t xml:space="preserve"> - from other financial assets</t>
  </si>
  <si>
    <t>Non-trading financial assets at FV through profit or loss</t>
  </si>
  <si>
    <t>Financial assets at FV through other comprehensive income</t>
  </si>
  <si>
    <t>Financial assets at amortised cost</t>
  </si>
  <si>
    <t>Finance lease receivables</t>
  </si>
  <si>
    <t>Hedge accounting derivatives</t>
  </si>
  <si>
    <t>Assets held for sale</t>
  </si>
  <si>
    <t>Trade and other receivables</t>
  </si>
  <si>
    <t>thereof Loans and advances to customers</t>
  </si>
  <si>
    <t>Financial liabilities at fair value through profit or loss</t>
  </si>
  <si>
    <t>Financial liabilities at amortised cost</t>
  </si>
  <si>
    <t>Impairment result on financial instruments</t>
  </si>
  <si>
    <t>Customer deposits (CZK m)**</t>
  </si>
  <si>
    <t>*** Change of the way of reporting since Dec 2009; figures restarted since Dec 2008</t>
  </si>
  <si>
    <t>* Since 2018 includes loans and advances at amortised cost, loans and advances at FV through profit or loss, finance lease receivables and trade and other receivables, previous figures not restated</t>
  </si>
  <si>
    <t>Financial assets held for trading</t>
  </si>
  <si>
    <t xml:space="preserve"> - from financial liaiblities at amortized cost</t>
  </si>
  <si>
    <t>Investments in associates</t>
  </si>
  <si>
    <t>Financial liabilities held for trading</t>
  </si>
  <si>
    <t xml:space="preserve"> </t>
  </si>
  <si>
    <t>thereof Loans and advances to banks</t>
  </si>
  <si>
    <t>Property, equipment and right-of-use assets</t>
  </si>
  <si>
    <t>Investment property</t>
  </si>
  <si>
    <t>Lease liabilities</t>
  </si>
  <si>
    <t>Juraj Garaj</t>
  </si>
  <si>
    <t>jgaraj@csas.cz</t>
  </si>
  <si>
    <t>** Since H1 2021 includes deposits from customers at amortised cost, deposits from customers at FV through profit or loss; figures restated since June 2020
Since 2019 includes deposits from customers at amortised cost, deposits from customers at FV through profit or loss and lease liabilities to customers</t>
  </si>
  <si>
    <t>**** Since June 2022 number of physical branches; figures restated since Dec 2018</t>
  </si>
  <si>
    <t>Number of branches ****</t>
  </si>
  <si>
    <t>Iveta Válková</t>
  </si>
  <si>
    <t>ivalkova@csas.cz</t>
  </si>
  <si>
    <t>tel: +420 956 712 012</t>
  </si>
  <si>
    <t>Barbora Havlíčková</t>
  </si>
  <si>
    <t>bahavlickova@csas.cz</t>
  </si>
  <si>
    <r>
      <t xml:space="preserve">ROAE </t>
    </r>
    <r>
      <rPr>
        <sz val="10"/>
        <rFont val="Arial"/>
        <family val="2"/>
        <charset val="238"/>
      </rPr>
      <t>(new calculation since FY 2019, values since FY 2018 restated)</t>
    </r>
  </si>
  <si>
    <t>Return on equity (new calculation since FY 2019, values since FY 2018 restated)</t>
  </si>
  <si>
    <t>1) Figures were restated in order to show comparable figures based on new at cost valuation of investment property (since FY 2010)</t>
  </si>
  <si>
    <t>Number of active payment cards (in thousands)</t>
  </si>
  <si>
    <t>Net loans to customers (CZK m)*</t>
  </si>
  <si>
    <t>High risk loans / Total loans (until Sep 2008); NPLs in total customer loans (since Dec 2008)***</t>
  </si>
  <si>
    <t>tel: +420 705 624 615</t>
  </si>
  <si>
    <t>tel: +420 735 164 016</t>
  </si>
  <si>
    <t>YEARLY (average)</t>
  </si>
  <si>
    <t>Demand and Supply</t>
  </si>
  <si>
    <t>GDP (real %)</t>
  </si>
  <si>
    <t>Household consumption (real %)</t>
  </si>
  <si>
    <t>Fixed Investments (real %)</t>
  </si>
  <si>
    <t>Export (real %)</t>
  </si>
  <si>
    <t>Import (real %)</t>
  </si>
  <si>
    <t>Industrial Production (real %)</t>
  </si>
  <si>
    <t>Retail (real %)</t>
  </si>
  <si>
    <t>State finance</t>
  </si>
  <si>
    <t>General government (% GDP, ESA 2010)</t>
  </si>
  <si>
    <t>State debt (% GDP)</t>
  </si>
  <si>
    <t>Labor market</t>
  </si>
  <si>
    <t>Unemployment rate (eop, %) 1</t>
  </si>
  <si>
    <t>Nominal wages (%)</t>
  </si>
  <si>
    <t>Real wages (%)</t>
  </si>
  <si>
    <t>External relations</t>
  </si>
  <si>
    <t>Trade balance (YTD CZK bn)</t>
  </si>
  <si>
    <t>Trade balance (% GDP)</t>
  </si>
  <si>
    <t>Current account (YTD CZK bn)</t>
  </si>
  <si>
    <t>Current account (% GDP)</t>
  </si>
  <si>
    <t>Prices</t>
  </si>
  <si>
    <t>CPI inflation (%)</t>
  </si>
  <si>
    <t>Core inflation (%)</t>
  </si>
  <si>
    <t>Monetary conditions</t>
  </si>
  <si>
    <t>CZK/EUR Avg</t>
  </si>
  <si>
    <t>CZK/USD Avg</t>
  </si>
  <si>
    <t>2W repo rate (%)</t>
  </si>
  <si>
    <t>10Y bonds (%)</t>
  </si>
  <si>
    <t>Notes:</t>
  </si>
  <si>
    <t xml:space="preserve">Unless otherwise stated, the annual or quarterly averages are presented. </t>
  </si>
  <si>
    <t>1 ILO methodology</t>
  </si>
  <si>
    <t xml:space="preserve"> - from other financial liabilities *</t>
  </si>
  <si>
    <t xml:space="preserve"> - other interest expense *</t>
  </si>
  <si>
    <t>* since 2023 new structure; total figures unchanged</t>
  </si>
  <si>
    <t>2026e</t>
  </si>
  <si>
    <r>
      <t>31.12.2009</t>
    </r>
    <r>
      <rPr>
        <b/>
        <vertAlign val="superscript"/>
        <sz val="10"/>
        <rFont val="Arial"/>
        <family val="2"/>
        <charset val="238"/>
      </rPr>
      <t>1</t>
    </r>
  </si>
  <si>
    <r>
      <t>31.03.2010</t>
    </r>
    <r>
      <rPr>
        <b/>
        <vertAlign val="superscript"/>
        <sz val="10"/>
        <rFont val="Arial"/>
        <family val="2"/>
        <charset val="238"/>
      </rPr>
      <t>1</t>
    </r>
  </si>
  <si>
    <r>
      <t>30.6.2010</t>
    </r>
    <r>
      <rPr>
        <b/>
        <vertAlign val="superscript"/>
        <sz val="10"/>
        <rFont val="Arial"/>
        <family val="2"/>
        <charset val="238"/>
      </rPr>
      <t>1</t>
    </r>
  </si>
  <si>
    <r>
      <t>30.9.2010</t>
    </r>
    <r>
      <rPr>
        <b/>
        <vertAlign val="superscript"/>
        <sz val="10"/>
        <rFont val="Arial"/>
        <family val="2"/>
        <charset val="238"/>
      </rPr>
      <t>1</t>
    </r>
  </si>
  <si>
    <r>
      <t>31.12.2010</t>
    </r>
    <r>
      <rPr>
        <b/>
        <vertAlign val="superscript"/>
        <sz val="10"/>
        <rFont val="Arial"/>
        <family val="2"/>
        <charset val="238"/>
      </rPr>
      <t>1</t>
    </r>
  </si>
  <si>
    <r>
      <t>31.03.2011</t>
    </r>
    <r>
      <rPr>
        <b/>
        <vertAlign val="superscript"/>
        <sz val="10"/>
        <rFont val="Arial"/>
        <family val="2"/>
        <charset val="238"/>
      </rPr>
      <t>2</t>
    </r>
  </si>
  <si>
    <r>
      <t>30.06.2011</t>
    </r>
    <r>
      <rPr>
        <b/>
        <vertAlign val="superscript"/>
        <sz val="10"/>
        <rFont val="Arial"/>
        <family val="2"/>
        <charset val="238"/>
      </rPr>
      <t>2</t>
    </r>
  </si>
  <si>
    <r>
      <t>30.09.2011</t>
    </r>
    <r>
      <rPr>
        <b/>
        <vertAlign val="superscript"/>
        <sz val="10"/>
        <rFont val="Arial"/>
        <family val="2"/>
        <charset val="238"/>
      </rPr>
      <t>2</t>
    </r>
  </si>
  <si>
    <r>
      <t>31.12.2011</t>
    </r>
    <r>
      <rPr>
        <b/>
        <vertAlign val="superscript"/>
        <sz val="10"/>
        <rFont val="Arial"/>
        <family val="2"/>
        <charset val="238"/>
      </rPr>
      <t>2</t>
    </r>
  </si>
  <si>
    <t>Gains/losses from derecognition of financial assets measured at amortised cost </t>
  </si>
  <si>
    <t>Other gains/losses from derecognition of financial instruments not measured at FV through profit or loss</t>
  </si>
  <si>
    <t xml:space="preserve">Debt securities </t>
  </si>
  <si>
    <t>Loans and advances to banks</t>
  </si>
  <si>
    <t>Loans and advances to customers</t>
  </si>
  <si>
    <t>thereof Deposits from customers</t>
  </si>
  <si>
    <t>Debt securities issued</t>
  </si>
  <si>
    <t>last actual data</t>
  </si>
  <si>
    <t>2025 preliminary financial results release (IFRS, cons.)</t>
  </si>
  <si>
    <t>Q1 2026 financial results release (IFRS, cons.)</t>
  </si>
  <si>
    <t>H1 2026 financial results release (IFRS, cons.)</t>
  </si>
  <si>
    <t>Q1-3 2026 financial results release (IFRS, cons.)</t>
  </si>
  <si>
    <t>4Q</t>
  </si>
  <si>
    <t>1Q</t>
  </si>
  <si>
    <t>2025/2026</t>
  </si>
  <si>
    <t>2027e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</si>
</sst>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3" formatCode="_-* #,##0.00_-;\-* #,##0.00_-;_-* &quot;-&quot;??_-;_-@_-"/>
    <numFmt numFmtId="164" formatCode="#,##0\ &quot;Kč&quot;;\-#,##0\ &quot;Kč&quot;"/>
    <numFmt numFmtId="165" formatCode="#,##0.00\ &quot;Kč&quot;;\-#,##0.00\ &quot;Kč&quot;"/>
    <numFmt numFmtId="166" formatCode="_-* #,##0\ _K_č_-;\-* #,##0\ _K_č_-;_-* &quot;-&quot;\ _K_č_-;_-@_-"/>
    <numFmt numFmtId="167" formatCode="_-* #,##0.00\ _K_č_-;\-* #,##0.00\ _K_č_-;_-* &quot;-&quot;??\ _K_č_-;_-@_-"/>
    <numFmt numFmtId="168" formatCode="0.0%"/>
    <numFmt numFmtId="169" formatCode="0.0"/>
    <numFmt numFmtId="170" formatCode="#,##0.0"/>
    <numFmt numFmtId="171" formatCode="_(&quot;$&quot;* #,##0_);_(&quot;$&quot;* \(#,##0\);_(&quot;$&quot;* &quot;-&quot;_);_(@_)"/>
    <numFmt numFmtId="172" formatCode="_(* #,##0_);_(* \(#,##0\);_(* &quot;-&quot;_);_(@_)"/>
    <numFmt numFmtId="173" formatCode="_(&quot;$&quot;* #,##0.00_);_(&quot;$&quot;* \(#,##0.00\);_(&quot;$&quot;* &quot;-&quot;??_);_(@_)"/>
    <numFmt numFmtId="174" formatCode="_(* #,##0.00_);_(* \(#,##0.00\);_(* &quot;-&quot;??_);_(@_)"/>
    <numFmt numFmtId="175" formatCode="_-* #,##0\ _D_M_-;\-* #,##0\ _D_M_-;_-* &quot;-&quot;\ _D_M_-;_-@_-"/>
    <numFmt numFmtId="176" formatCode="_-* #,##0.00\ _D_M_-;\-* #,##0.00\ _D_M_-;_-* &quot;-&quot;??\ _D_M_-;_-@_-"/>
    <numFmt numFmtId="177" formatCode="_-* #,##0\ _z_ł_-;\-* #,##0\ _z_ł_-;_-* &quot;-&quot;\ _z_ł_-;_-@_-"/>
    <numFmt numFmtId="178" formatCode="_-* #,##0.00\ _z_ł_-;\-* #,##0.00\ _z_ł_-;_-* &quot;-&quot;??\ _z_ł_-;_-@_-"/>
    <numFmt numFmtId="179" formatCode="_-&quot;öS&quot;\ * #,##0_-;\-&quot;öS&quot;\ * #,##0_-;_-&quot;öS&quot;\ * &quot;-&quot;_-;_-@_-"/>
    <numFmt numFmtId="180" formatCode="_-&quot;öS&quot;\ * #,##0.00_-;\-&quot;öS&quot;\ * #,##0.00_-;_-&quot;öS&quot;\ * &quot;-&quot;??_-;_-@_-"/>
    <numFmt numFmtId="181" formatCode="_-* #,##0\ &quot;zł&quot;_-;\-* #,##0\ &quot;zł&quot;_-;_-* &quot;-&quot;\ &quot;zł&quot;_-;_-@_-"/>
    <numFmt numFmtId="182" formatCode="_-* #,##0.00\ &quot;zł&quot;_-;\-* #,##0.00\ &quot;zł&quot;_-;_-* &quot;-&quot;??\ &quot;zł&quot;_-;_-@_-"/>
    <numFmt numFmtId="183" formatCode="0.0\ %"/>
    <numFmt numFmtId="184" formatCode="#,##0.00\x;\-#,##0.00\x"/>
    <numFmt numFmtId="185" formatCode="0%_);\(0%\)"/>
    <numFmt numFmtId="186" formatCode="_-* #,##0.00\ &quot;F&quot;_-;\-* #,##0.00\ &quot;F&quot;_-;_-* &quot;-&quot;??\ &quot;F&quot;_-;_-@_-"/>
    <numFmt numFmtId="187" formatCode="_-* #,##0.00\ _F_-;\-* #,##0.00\ _F_-;_-* &quot;-&quot;??\ _F_-;_-@_-"/>
    <numFmt numFmtId="188" formatCode="#,##0,"/>
    <numFmt numFmtId="189" formatCode="#"/>
    <numFmt numFmtId="190" formatCode="0.0\x"/>
    <numFmt numFmtId="191" formatCode="#,##0.00_ ;[Red]\-#,##0.00;\-"/>
    <numFmt numFmtId="192" formatCode="_-[$€]\ * #,##0.00_-;\-[$€]\ * #,##0.00_-;_-[$€]\ * &quot;-&quot;??_-;_-@_-"/>
    <numFmt numFmtId="193" formatCode="\ \ \ @"/>
    <numFmt numFmtId="194" formatCode="\ \ \ \ \ \ @"/>
    <numFmt numFmtId="195" formatCode="\ \ \ \ @"/>
    <numFmt numFmtId="196" formatCode="\ \ @"/>
    <numFmt numFmtId="197" formatCode="\ @"/>
    <numFmt numFmtId="198" formatCode="\ \ \ \ \ \ \ \ \ @"/>
    <numFmt numFmtId="199" formatCode="@\ *."/>
    <numFmt numFmtId="200" formatCode="\ @\ *."/>
    <numFmt numFmtId="201" formatCode="\ \ \ @\ *."/>
    <numFmt numFmtId="202" formatCode="\ \ \ \ @\ *."/>
    <numFmt numFmtId="203" formatCode="\ \ \ \ \ \ @\ *."/>
    <numFmt numFmtId="204" formatCode="\ \ \ \ \ \ \ @\ *."/>
    <numFmt numFmtId="205" formatCode="\ \ \ \ \ \ \ \ \ @\ *."/>
    <numFmt numFmtId="206" formatCode="\ \ \ \ \ \ \ \ \ \ @\ *."/>
    <numFmt numFmtId="207" formatCode="\ \ @\ *."/>
    <numFmt numFmtId="208" formatCode="\ \ \ \ \ \ \ \ \ \ \ \ @\ *."/>
    <numFmt numFmtId="209" formatCode="\ \ \ \ \ \ \ \ \ \ \ \ @"/>
    <numFmt numFmtId="210" formatCode="\ \ \ \ \ \ \ \ \ \ \ \ \ @\ *."/>
    <numFmt numFmtId="211" formatCode="d/m/yyyy;@"/>
    <numFmt numFmtId="212" formatCode="dd/mm/yy;@"/>
    <numFmt numFmtId="213" formatCode="[$-809]mmm\ yy"/>
    <numFmt numFmtId="214" formatCode="[$-809]dd\ mmmm\ yyyy"/>
    <numFmt numFmtId="215" formatCode="&quot;$&quot;#,##0_);[Red]\(&quot;$&quot;#,##0\);&quot;-&quot;"/>
    <numFmt numFmtId="216" formatCode="&quot;$&quot;#,##0\ ;\(&quot;$&quot;#,##0\)"/>
    <numFmt numFmtId="217" formatCode="\$#,##0\ ;\(\$#,##0\)"/>
    <numFmt numFmtId="218" formatCode="d\.m\.yy\ h:mm"/>
  </numFmts>
  <fonts count="159">
    <font>
      <sz val="10"/>
      <name val="Arial CE"/>
      <charset val="238"/>
    </font>
    <font>
      <sz val="10"/>
      <name val="Arial CE"/>
      <charset val="238"/>
    </font>
    <font>
      <sz val="10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Courier"/>
      <family val="1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72"/>
      <name val="Courier"/>
      <family val="1"/>
      <charset val="238"/>
    </font>
    <font>
      <sz val="10"/>
      <color indexed="23"/>
      <name val="Courier"/>
      <family val="1"/>
      <charset val="238"/>
    </font>
    <font>
      <sz val="8"/>
      <name val="Palatino"/>
      <family val="1"/>
    </font>
    <font>
      <sz val="10"/>
      <color indexed="24"/>
      <name val="Arial CE"/>
      <charset val="238"/>
    </font>
    <font>
      <sz val="1"/>
      <color indexed="16"/>
      <name val="Courier"/>
      <family val="1"/>
      <charset val="238"/>
    </font>
    <font>
      <b/>
      <sz val="9.5"/>
      <color indexed="10"/>
      <name val="MS Sans Serif"/>
      <family val="2"/>
      <charset val="238"/>
    </font>
    <font>
      <sz val="10"/>
      <color indexed="8"/>
      <name val="Times New Roman CE"/>
      <charset val="238"/>
    </font>
    <font>
      <u/>
      <sz val="10"/>
      <color indexed="36"/>
      <name val="Arial"/>
      <family val="2"/>
      <charset val="238"/>
    </font>
    <font>
      <sz val="7"/>
      <name val="Palatino"/>
      <family val="1"/>
    </font>
    <font>
      <sz val="6"/>
      <color indexed="16"/>
      <name val="Palatino"/>
      <family val="1"/>
    </font>
    <font>
      <b/>
      <sz val="10"/>
      <name val="Arial"/>
      <family val="2"/>
      <charset val="238"/>
    </font>
    <font>
      <sz val="18"/>
      <name val="Helvetica-Black"/>
    </font>
    <font>
      <i/>
      <sz val="14"/>
      <name val="Palatino"/>
      <family val="1"/>
    </font>
    <font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color indexed="12"/>
      <name val="Palatino"/>
      <family val="1"/>
    </font>
    <font>
      <sz val="12"/>
      <color indexed="23"/>
      <name val="Courier"/>
      <family val="1"/>
      <charset val="238"/>
    </font>
    <font>
      <sz val="10"/>
      <name val="Palatino"/>
      <family val="1"/>
    </font>
    <font>
      <sz val="10"/>
      <color indexed="16"/>
      <name val="Helvetica-Black"/>
    </font>
    <font>
      <sz val="10"/>
      <color indexed="8"/>
      <name val="MS Sans Serif"/>
      <family val="2"/>
      <charset val="238"/>
    </font>
    <font>
      <sz val="9.5"/>
      <color indexed="23"/>
      <name val="Helvetica-Black"/>
    </font>
    <font>
      <sz val="8"/>
      <name val="Arial CE"/>
      <family val="2"/>
      <charset val="238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8"/>
      <name val="Arial CE"/>
      <family val="2"/>
      <charset val="238"/>
    </font>
    <font>
      <u/>
      <sz val="8"/>
      <color indexed="8"/>
      <name val="Arial"/>
      <family val="2"/>
    </font>
    <font>
      <b/>
      <i/>
      <sz val="8"/>
      <name val="Helv"/>
    </font>
    <font>
      <sz val="8"/>
      <name val="Arial CE"/>
      <charset val="238"/>
    </font>
    <font>
      <sz val="8"/>
      <name val="Arial"/>
      <family val="2"/>
    </font>
    <font>
      <sz val="7"/>
      <name val="Letter Gothic CE"/>
      <family val="3"/>
      <charset val="238"/>
    </font>
    <font>
      <sz val="11"/>
      <color indexed="8"/>
      <name val="Calibri"/>
      <family val="2"/>
      <charset val="238"/>
    </font>
    <font>
      <sz val="7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u/>
      <sz val="10"/>
      <color indexed="12"/>
      <name val="Arial CE"/>
      <charset val="238"/>
    </font>
    <font>
      <sz val="10"/>
      <name val="Arial CE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0"/>
      <color indexed="56"/>
      <name val="Arial"/>
      <family val="2"/>
      <charset val="238"/>
    </font>
    <font>
      <sz val="10"/>
      <color indexed="56"/>
      <name val="Arial"/>
      <family val="2"/>
      <charset val="238"/>
    </font>
    <font>
      <sz val="10"/>
      <color indexed="16"/>
      <name val="Arial"/>
      <family val="2"/>
      <charset val="238"/>
    </font>
    <font>
      <vertAlign val="superscript"/>
      <sz val="8"/>
      <color indexed="16"/>
      <name val="Arial"/>
      <family val="2"/>
      <charset val="238"/>
    </font>
    <font>
      <b/>
      <vertAlign val="superscript"/>
      <sz val="8"/>
      <color indexed="16"/>
      <name val="Arial"/>
      <family val="2"/>
      <charset val="238"/>
    </font>
    <font>
      <b/>
      <sz val="10"/>
      <color indexed="16"/>
      <name val="Arial"/>
      <family val="2"/>
      <charset val="238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Helv"/>
    </font>
    <font>
      <sz val="12"/>
      <name val="Arial CE"/>
    </font>
    <font>
      <sz val="10"/>
      <name val="Arial Narrow"/>
      <family val="2"/>
      <charset val="238"/>
    </font>
    <font>
      <sz val="10"/>
      <name val="Courier"/>
      <family val="3"/>
    </font>
    <font>
      <sz val="10"/>
      <name val="Helv"/>
      <charset val="238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0"/>
      <name val="Arial"/>
      <family val="2"/>
      <charset val="162"/>
    </font>
    <font>
      <sz val="10"/>
      <color indexed="9"/>
      <name val="Arial"/>
      <family val="2"/>
      <charset val="238"/>
    </font>
    <font>
      <sz val="10"/>
      <name val="Times New Roman"/>
      <family val="1"/>
    </font>
    <font>
      <sz val="12"/>
      <name val="System"/>
      <family val="2"/>
      <charset val="238"/>
    </font>
    <font>
      <sz val="10"/>
      <color indexed="20"/>
      <name val="Arial"/>
      <family val="2"/>
      <charset val="238"/>
    </font>
    <font>
      <sz val="10"/>
      <color indexed="24"/>
      <name val="Courier New"/>
      <family val="3"/>
      <charset val="238"/>
    </font>
    <font>
      <sz val="1"/>
      <color indexed="16"/>
      <name val="Courier"/>
      <family val="3"/>
    </font>
    <font>
      <sz val="10"/>
      <color indexed="72"/>
      <name val="Courier"/>
      <family val="3"/>
    </font>
    <font>
      <sz val="10"/>
      <name val="System"/>
      <family val="2"/>
    </font>
    <font>
      <sz val="11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  <charset val="162"/>
    </font>
    <font>
      <b/>
      <i/>
      <sz val="10"/>
      <name val="Times New Roman"/>
      <family val="1"/>
    </font>
    <font>
      <b/>
      <sz val="10"/>
      <color indexed="9"/>
      <name val="Arial"/>
      <family val="2"/>
      <charset val="238"/>
    </font>
    <font>
      <b/>
      <sz val="8.25"/>
      <color indexed="16"/>
      <name val="Helv"/>
    </font>
    <font>
      <sz val="8"/>
      <name val="Arial"/>
      <family val="2"/>
      <charset val="238"/>
    </font>
    <font>
      <sz val="10"/>
      <color indexed="52"/>
      <name val="Arial"/>
      <family val="2"/>
      <charset val="238"/>
    </font>
    <font>
      <b/>
      <sz val="14"/>
      <name val="Arial"/>
      <family val="2"/>
      <charset val="238"/>
    </font>
    <font>
      <u/>
      <sz val="10"/>
      <color indexed="36"/>
      <name val="Arial CE"/>
      <charset val="238"/>
    </font>
    <font>
      <u/>
      <sz val="10"/>
      <color indexed="36"/>
      <name val="Arial"/>
      <family val="2"/>
      <charset val="162"/>
    </font>
    <font>
      <sz val="10"/>
      <color indexed="17"/>
      <name val="Arial"/>
      <family val="2"/>
      <charset val="238"/>
    </font>
    <font>
      <sz val="11"/>
      <color indexed="8"/>
      <name val="Calibri"/>
      <family val="2"/>
    </font>
    <font>
      <i/>
      <sz val="8"/>
      <name val="Arial"/>
      <family val="2"/>
      <charset val="238"/>
    </font>
    <font>
      <b/>
      <sz val="11"/>
      <name val="Arial CE"/>
      <family val="2"/>
      <charset val="238"/>
    </font>
    <font>
      <sz val="10"/>
      <color indexed="10"/>
      <name val="Arial"/>
      <family val="2"/>
      <charset val="238"/>
    </font>
    <font>
      <i/>
      <sz val="10"/>
      <color indexed="23"/>
      <name val="Arial"/>
      <family val="2"/>
      <charset val="238"/>
    </font>
    <font>
      <sz val="18"/>
      <name val="Arial CE"/>
    </font>
    <font>
      <sz val="18"/>
      <name val="System"/>
      <family val="2"/>
      <charset val="238"/>
    </font>
    <font>
      <sz val="8"/>
      <name val="Arial CE"/>
    </font>
    <font>
      <sz val="8"/>
      <name val="System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9"/>
      <color rgb="FF1F497D"/>
      <name val="Verdana"/>
      <family val="2"/>
    </font>
    <font>
      <b/>
      <sz val="11"/>
      <color theme="1"/>
      <name val="Calibri"/>
      <family val="2"/>
      <charset val="238"/>
      <scheme val="minor"/>
    </font>
    <font>
      <b/>
      <sz val="10"/>
      <color theme="0"/>
      <name val="Arial"/>
      <family val="2"/>
    </font>
    <font>
      <sz val="11"/>
      <color rgb="FF9C0006"/>
      <name val="Calibri"/>
      <family val="2"/>
      <charset val="238"/>
      <scheme val="minor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0"/>
      <color rgb="FFFA7D00"/>
      <name val="Arial"/>
      <family val="2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A7D00"/>
      <name val="Calibri"/>
      <family val="2"/>
      <charset val="238"/>
      <scheme val="minor"/>
    </font>
    <font>
      <b/>
      <sz val="9"/>
      <color rgb="FF16365C"/>
      <name val="Verdana"/>
      <family val="2"/>
    </font>
    <font>
      <sz val="9"/>
      <color rgb="FF16365C"/>
      <name val="Verdana"/>
      <family val="2"/>
    </font>
    <font>
      <sz val="11"/>
      <color rgb="FF006100"/>
      <name val="Calibri"/>
      <family val="2"/>
      <charset val="238"/>
      <scheme val="minor"/>
    </font>
    <font>
      <b/>
      <sz val="10"/>
      <color rgb="FF16365C"/>
      <name val="Verdana"/>
      <family val="2"/>
    </font>
    <font>
      <sz val="11"/>
      <color rgb="FFFF0000"/>
      <name val="Calibri"/>
      <family val="2"/>
      <charset val="238"/>
      <scheme val="minor"/>
    </font>
    <font>
      <b/>
      <sz val="18"/>
      <color theme="3"/>
      <name val="Cambria"/>
      <family val="2"/>
      <scheme val="major"/>
    </font>
    <font>
      <sz val="11"/>
      <color rgb="FF3F3F7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u/>
      <sz val="10"/>
      <color theme="10"/>
      <name val="Arial CE"/>
      <charset val="238"/>
    </font>
    <font>
      <b/>
      <sz val="10"/>
      <color theme="0"/>
      <name val="Arial"/>
      <family val="2"/>
      <charset val="238"/>
    </font>
    <font>
      <sz val="10"/>
      <color theme="0"/>
      <name val="Arial"/>
      <family val="2"/>
      <charset val="238"/>
    </font>
    <font>
      <i/>
      <u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b/>
      <sz val="20"/>
      <name val="Arial"/>
      <family val="2"/>
      <charset val="238"/>
    </font>
    <font>
      <sz val="10"/>
      <color rgb="FF083676"/>
      <name val="Arial"/>
      <family val="2"/>
      <charset val="238"/>
    </font>
    <font>
      <b/>
      <i/>
      <sz val="10"/>
      <color indexed="56"/>
      <name val="Arial"/>
      <family val="2"/>
      <charset val="238"/>
    </font>
    <font>
      <sz val="10"/>
      <color indexed="18"/>
      <name val="Arial"/>
      <family val="2"/>
      <charset val="238"/>
    </font>
    <font>
      <sz val="10"/>
      <color theme="1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i/>
      <sz val="8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i/>
      <sz val="10"/>
      <name val="Arial"/>
      <family val="2"/>
      <charset val="238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gray0625"/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gray0625">
        <fgColor indexed="8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C5D9F1"/>
        <bgColor rgb="FFC5D9F1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45375"/>
        <bgColor indexed="64"/>
      </patternFill>
    </fill>
    <fill>
      <patternFill patternType="solid">
        <fgColor rgb="FF7591AB"/>
        <bgColor indexed="64"/>
      </patternFill>
    </fill>
    <fill>
      <patternFill patternType="solid">
        <fgColor rgb="FF245375"/>
        <bgColor rgb="FF000000"/>
      </patternFill>
    </fill>
    <fill>
      <patternFill patternType="solid">
        <fgColor rgb="FFD6DCE2"/>
        <bgColor rgb="FF000000"/>
      </patternFill>
    </fill>
    <fill>
      <patternFill patternType="solid">
        <fgColor rgb="FFECEEF1"/>
        <bgColor rgb="FF000000"/>
      </patternFill>
    </fill>
    <fill>
      <patternFill patternType="solid">
        <fgColor rgb="FF7591AB"/>
        <bgColor rgb="FF000000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/>
      <right/>
      <top/>
      <bottom style="double">
        <color indexed="5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16365C"/>
      </left>
      <right style="thin">
        <color rgb="FF16365C"/>
      </right>
      <top style="dotted">
        <color rgb="FF16365C"/>
      </top>
      <bottom style="dotted">
        <color rgb="FF16365C"/>
      </bottom>
      <diagonal/>
    </border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2870ED"/>
      </top>
      <bottom style="medium">
        <color rgb="FF2870ED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2870ED"/>
      </top>
      <bottom/>
      <diagonal/>
    </border>
    <border>
      <left/>
      <right/>
      <top/>
      <bottom style="medium">
        <color rgb="FF2870ED"/>
      </bottom>
      <diagonal/>
    </border>
    <border>
      <left/>
      <right/>
      <top style="medium">
        <color rgb="FF2870ED"/>
      </top>
      <bottom style="thin">
        <color auto="1"/>
      </bottom>
      <diagonal/>
    </border>
  </borders>
  <cellStyleXfs count="543">
    <xf numFmtId="0" fontId="0" fillId="0" borderId="0">
      <alignment vertical="top"/>
    </xf>
    <xf numFmtId="0" fontId="74" fillId="0" borderId="0"/>
    <xf numFmtId="0" fontId="8" fillId="0" borderId="0">
      <alignment vertical="center"/>
    </xf>
    <xf numFmtId="0" fontId="8" fillId="0" borderId="0">
      <alignment vertical="center"/>
    </xf>
    <xf numFmtId="10" fontId="75" fillId="2" borderId="0"/>
    <xf numFmtId="214" fontId="8" fillId="0" borderId="0"/>
    <xf numFmtId="0" fontId="9" fillId="0" borderId="0"/>
    <xf numFmtId="0" fontId="5" fillId="0" borderId="0"/>
    <xf numFmtId="3" fontId="76" fillId="0" borderId="0"/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>
      <alignment vertical="top"/>
    </xf>
    <xf numFmtId="14" fontId="77" fillId="0" borderId="0" applyProtection="0">
      <alignment vertical="center"/>
    </xf>
    <xf numFmtId="14" fontId="77" fillId="0" borderId="0" applyProtection="0">
      <alignment vertical="center"/>
    </xf>
    <xf numFmtId="0" fontId="5" fillId="0" borderId="0"/>
    <xf numFmtId="0" fontId="5" fillId="0" borderId="0"/>
    <xf numFmtId="0" fontId="78" fillId="0" borderId="0"/>
    <xf numFmtId="0" fontId="5" fillId="0" borderId="0">
      <alignment horizontal="left" wrapText="1"/>
    </xf>
    <xf numFmtId="0" fontId="9" fillId="0" borderId="0"/>
    <xf numFmtId="0" fontId="5" fillId="0" borderId="0"/>
    <xf numFmtId="0" fontId="7" fillId="0" borderId="0">
      <alignment vertical="top"/>
    </xf>
    <xf numFmtId="214" fontId="2" fillId="3" borderId="0"/>
    <xf numFmtId="214" fontId="73" fillId="3" borderId="0"/>
    <xf numFmtId="214" fontId="79" fillId="3" borderId="0"/>
    <xf numFmtId="214" fontId="80" fillId="3" borderId="0"/>
    <xf numFmtId="214" fontId="80" fillId="3" borderId="0"/>
    <xf numFmtId="214" fontId="80" fillId="3" borderId="0"/>
    <xf numFmtId="214" fontId="80" fillId="3" borderId="0"/>
    <xf numFmtId="214" fontId="81" fillId="3" borderId="0"/>
    <xf numFmtId="214" fontId="82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0" fontId="5" fillId="0" borderId="0"/>
    <xf numFmtId="0" fontId="7" fillId="0" borderId="0">
      <alignment vertical="top"/>
    </xf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191" fontId="2" fillId="4" borderId="1"/>
    <xf numFmtId="191" fontId="2" fillId="4" borderId="1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214" fontId="79" fillId="4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214" fontId="2" fillId="0" borderId="0"/>
    <xf numFmtId="214" fontId="2" fillId="0" borderId="0"/>
    <xf numFmtId="214" fontId="2" fillId="0" borderId="0"/>
    <xf numFmtId="214" fontId="2" fillId="0" borderId="0"/>
    <xf numFmtId="0" fontId="7" fillId="0" borderId="0">
      <alignment vertical="top"/>
    </xf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0" fontId="10" fillId="0" borderId="0"/>
    <xf numFmtId="0" fontId="5" fillId="0" borderId="0"/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0" fontId="5" fillId="0" borderId="0"/>
    <xf numFmtId="0" fontId="7" fillId="0" borderId="0">
      <alignment vertical="top"/>
    </xf>
    <xf numFmtId="0" fontId="5" fillId="0" borderId="0"/>
    <xf numFmtId="0" fontId="5" fillId="0" borderId="0"/>
    <xf numFmtId="0" fontId="7" fillId="0" borderId="0">
      <alignment vertical="top"/>
    </xf>
    <xf numFmtId="0" fontId="5" fillId="0" borderId="0"/>
    <xf numFmtId="0" fontId="7" fillId="0" borderId="0">
      <alignment vertical="top"/>
    </xf>
    <xf numFmtId="0" fontId="5" fillId="0" borderId="0"/>
    <xf numFmtId="0" fontId="9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214" fontId="2" fillId="3" borderId="0"/>
    <xf numFmtId="214" fontId="73" fillId="3" borderId="0"/>
    <xf numFmtId="214" fontId="79" fillId="3" borderId="0"/>
    <xf numFmtId="214" fontId="2" fillId="3" borderId="0"/>
    <xf numFmtId="214" fontId="2" fillId="3" borderId="0"/>
    <xf numFmtId="214" fontId="81" fillId="3" borderId="0"/>
    <xf numFmtId="214" fontId="82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214" fontId="44" fillId="3" borderId="0"/>
    <xf numFmtId="0" fontId="5" fillId="0" borderId="0"/>
    <xf numFmtId="0" fontId="5" fillId="0" borderId="0"/>
    <xf numFmtId="0" fontId="5" fillId="0" borderId="0"/>
    <xf numFmtId="0" fontId="9" fillId="0" borderId="0"/>
    <xf numFmtId="0" fontId="78" fillId="0" borderId="0"/>
    <xf numFmtId="0" fontId="78" fillId="0" borderId="0"/>
    <xf numFmtId="0" fontId="7" fillId="0" borderId="0">
      <alignment vertical="top"/>
    </xf>
    <xf numFmtId="0" fontId="5" fillId="0" borderId="0"/>
    <xf numFmtId="0" fontId="7" fillId="0" borderId="0">
      <alignment vertical="top"/>
    </xf>
    <xf numFmtId="0" fontId="9" fillId="0" borderId="0"/>
    <xf numFmtId="214" fontId="83" fillId="0" borderId="0"/>
    <xf numFmtId="0" fontId="5" fillId="0" borderId="0"/>
    <xf numFmtId="190" fontId="10" fillId="0" borderId="0"/>
    <xf numFmtId="190" fontId="2" fillId="0" borderId="0"/>
    <xf numFmtId="190" fontId="5" fillId="0" borderId="0"/>
    <xf numFmtId="199" fontId="44" fillId="0" borderId="0"/>
    <xf numFmtId="49" fontId="44" fillId="0" borderId="0"/>
    <xf numFmtId="189" fontId="11" fillId="0" borderId="0">
      <protection locked="0"/>
    </xf>
    <xf numFmtId="206" fontId="44" fillId="0" borderId="0">
      <alignment horizontal="center"/>
    </xf>
    <xf numFmtId="208" fontId="44" fillId="0" borderId="0"/>
    <xf numFmtId="209" fontId="44" fillId="0" borderId="0"/>
    <xf numFmtId="210" fontId="44" fillId="0" borderId="0"/>
    <xf numFmtId="200" fontId="44" fillId="0" borderId="0"/>
    <xf numFmtId="197" fontId="45" fillId="0" borderId="0"/>
    <xf numFmtId="214" fontId="7" fillId="5" borderId="0" applyNumberFormat="0" applyBorder="0" applyAlignment="0" applyProtection="0"/>
    <xf numFmtId="214" fontId="7" fillId="6" borderId="0" applyNumberFormat="0" applyBorder="0" applyAlignment="0" applyProtection="0"/>
    <xf numFmtId="214" fontId="7" fillId="7" borderId="0" applyNumberFormat="0" applyBorder="0" applyAlignment="0" applyProtection="0"/>
    <xf numFmtId="214" fontId="7" fillId="8" borderId="0" applyNumberFormat="0" applyBorder="0" applyAlignment="0" applyProtection="0"/>
    <xf numFmtId="214" fontId="7" fillId="9" borderId="0" applyNumberFormat="0" applyBorder="0" applyAlignment="0" applyProtection="0"/>
    <xf numFmtId="214" fontId="7" fillId="10" borderId="0" applyNumberFormat="0" applyBorder="0" applyAlignment="0" applyProtection="0"/>
    <xf numFmtId="0" fontId="113" fillId="35" borderId="0" applyNumberFormat="0" applyBorder="0" applyAlignment="0" applyProtection="0"/>
    <xf numFmtId="0" fontId="113" fillId="36" borderId="0" applyNumberFormat="0" applyBorder="0" applyAlignment="0" applyProtection="0"/>
    <xf numFmtId="0" fontId="113" fillId="37" borderId="0" applyNumberFormat="0" applyBorder="0" applyAlignment="0" applyProtection="0"/>
    <xf numFmtId="0" fontId="113" fillId="38" borderId="0" applyNumberFormat="0" applyBorder="0" applyAlignment="0" applyProtection="0"/>
    <xf numFmtId="0" fontId="113" fillId="39" borderId="0" applyNumberFormat="0" applyBorder="0" applyAlignment="0" applyProtection="0"/>
    <xf numFmtId="0" fontId="113" fillId="40" borderId="0" applyNumberFormat="0" applyBorder="0" applyAlignment="0" applyProtection="0"/>
    <xf numFmtId="0" fontId="46" fillId="5" borderId="0" applyNumberFormat="0" applyBorder="0" applyAlignment="0" applyProtection="0"/>
    <xf numFmtId="0" fontId="46" fillId="6" borderId="0" applyNumberFormat="0" applyBorder="0" applyAlignment="0" applyProtection="0"/>
    <xf numFmtId="0" fontId="46" fillId="7" borderId="0" applyNumberFormat="0" applyBorder="0" applyAlignment="0" applyProtection="0"/>
    <xf numFmtId="0" fontId="46" fillId="8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5" borderId="0" applyNumberFormat="0" applyBorder="0" applyAlignment="0" applyProtection="0"/>
    <xf numFmtId="0" fontId="46" fillId="6" borderId="0" applyNumberFormat="0" applyBorder="0" applyAlignment="0" applyProtection="0"/>
    <xf numFmtId="0" fontId="46" fillId="7" borderId="0" applyNumberFormat="0" applyBorder="0" applyAlignment="0" applyProtection="0"/>
    <xf numFmtId="0" fontId="46" fillId="8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207" fontId="47" fillId="0" borderId="0"/>
    <xf numFmtId="196" fontId="45" fillId="0" borderId="0"/>
    <xf numFmtId="201" fontId="44" fillId="0" borderId="0"/>
    <xf numFmtId="193" fontId="44" fillId="0" borderId="0"/>
    <xf numFmtId="214" fontId="7" fillId="11" borderId="0" applyNumberFormat="0" applyBorder="0" applyAlignment="0" applyProtection="0"/>
    <xf numFmtId="214" fontId="7" fillId="12" borderId="0" applyNumberFormat="0" applyBorder="0" applyAlignment="0" applyProtection="0"/>
    <xf numFmtId="214" fontId="7" fillId="13" borderId="0" applyNumberFormat="0" applyBorder="0" applyAlignment="0" applyProtection="0"/>
    <xf numFmtId="214" fontId="7" fillId="8" borderId="0" applyNumberFormat="0" applyBorder="0" applyAlignment="0" applyProtection="0"/>
    <xf numFmtId="214" fontId="7" fillId="11" borderId="0" applyNumberFormat="0" applyBorder="0" applyAlignment="0" applyProtection="0"/>
    <xf numFmtId="214" fontId="7" fillId="14" borderId="0" applyNumberFormat="0" applyBorder="0" applyAlignment="0" applyProtection="0"/>
    <xf numFmtId="0" fontId="113" fillId="41" borderId="0" applyNumberFormat="0" applyBorder="0" applyAlignment="0" applyProtection="0"/>
    <xf numFmtId="0" fontId="113" fillId="42" borderId="0" applyNumberFormat="0" applyBorder="0" applyAlignment="0" applyProtection="0"/>
    <xf numFmtId="0" fontId="113" fillId="43" borderId="0" applyNumberFormat="0" applyBorder="0" applyAlignment="0" applyProtection="0"/>
    <xf numFmtId="0" fontId="113" fillId="44" borderId="0" applyNumberFormat="0" applyBorder="0" applyAlignment="0" applyProtection="0"/>
    <xf numFmtId="0" fontId="113" fillId="45" borderId="0" applyNumberFormat="0" applyBorder="0" applyAlignment="0" applyProtection="0"/>
    <xf numFmtId="0" fontId="113" fillId="46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8" borderId="0" applyNumberFormat="0" applyBorder="0" applyAlignment="0" applyProtection="0"/>
    <xf numFmtId="0" fontId="46" fillId="11" borderId="0" applyNumberFormat="0" applyBorder="0" applyAlignment="0" applyProtection="0"/>
    <xf numFmtId="0" fontId="46" fillId="14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8" borderId="0" applyNumberFormat="0" applyBorder="0" applyAlignment="0" applyProtection="0"/>
    <xf numFmtId="0" fontId="46" fillId="11" borderId="0" applyNumberFormat="0" applyBorder="0" applyAlignment="0" applyProtection="0"/>
    <xf numFmtId="0" fontId="46" fillId="14" borderId="0" applyNumberFormat="0" applyBorder="0" applyAlignment="0" applyProtection="0"/>
    <xf numFmtId="202" fontId="44" fillId="0" borderId="0"/>
    <xf numFmtId="195" fontId="45" fillId="0" borderId="0"/>
    <xf numFmtId="214" fontId="84" fillId="15" borderId="0" applyNumberFormat="0" applyBorder="0" applyAlignment="0" applyProtection="0"/>
    <xf numFmtId="214" fontId="84" fillId="12" borderId="0" applyNumberFormat="0" applyBorder="0" applyAlignment="0" applyProtection="0"/>
    <xf numFmtId="214" fontId="84" fillId="13" borderId="0" applyNumberFormat="0" applyBorder="0" applyAlignment="0" applyProtection="0"/>
    <xf numFmtId="214" fontId="84" fillId="16" borderId="0" applyNumberFormat="0" applyBorder="0" applyAlignment="0" applyProtection="0"/>
    <xf numFmtId="214" fontId="84" fillId="17" borderId="0" applyNumberFormat="0" applyBorder="0" applyAlignment="0" applyProtection="0"/>
    <xf numFmtId="214" fontId="84" fillId="18" borderId="0" applyNumberFormat="0" applyBorder="0" applyAlignment="0" applyProtection="0"/>
    <xf numFmtId="0" fontId="114" fillId="47" borderId="0" applyNumberFormat="0" applyBorder="0" applyAlignment="0" applyProtection="0"/>
    <xf numFmtId="0" fontId="114" fillId="48" borderId="0" applyNumberFormat="0" applyBorder="0" applyAlignment="0" applyProtection="0"/>
    <xf numFmtId="0" fontId="114" fillId="49" borderId="0" applyNumberFormat="0" applyBorder="0" applyAlignment="0" applyProtection="0"/>
    <xf numFmtId="0" fontId="114" fillId="50" borderId="0" applyNumberFormat="0" applyBorder="0" applyAlignment="0" applyProtection="0"/>
    <xf numFmtId="0" fontId="114" fillId="51" borderId="0" applyNumberFormat="0" applyBorder="0" applyAlignment="0" applyProtection="0"/>
    <xf numFmtId="0" fontId="114" fillId="52" borderId="0" applyNumberFormat="0" applyBorder="0" applyAlignment="0" applyProtection="0"/>
    <xf numFmtId="0" fontId="48" fillId="15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5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18" borderId="0" applyNumberFormat="0" applyBorder="0" applyAlignment="0" applyProtection="0"/>
    <xf numFmtId="203" fontId="44" fillId="0" borderId="0">
      <alignment horizontal="center"/>
    </xf>
    <xf numFmtId="194" fontId="44" fillId="0" borderId="0">
      <alignment horizontal="center"/>
    </xf>
    <xf numFmtId="204" fontId="44" fillId="0" borderId="0">
      <alignment horizontal="center"/>
    </xf>
    <xf numFmtId="205" fontId="44" fillId="0" borderId="0">
      <alignment horizontal="center"/>
    </xf>
    <xf numFmtId="198" fontId="44" fillId="0" borderId="0">
      <alignment horizontal="center"/>
    </xf>
    <xf numFmtId="0" fontId="48" fillId="19" borderId="0" applyNumberFormat="0" applyBorder="0" applyAlignment="0" applyProtection="0"/>
    <xf numFmtId="214" fontId="115" fillId="53" borderId="0" applyNumberFormat="0" applyBorder="0" applyAlignment="0" applyProtection="0"/>
    <xf numFmtId="0" fontId="48" fillId="20" borderId="0" applyNumberFormat="0" applyBorder="0" applyAlignment="0" applyProtection="0"/>
    <xf numFmtId="214" fontId="115" fillId="54" borderId="0" applyNumberFormat="0" applyBorder="0" applyAlignment="0" applyProtection="0"/>
    <xf numFmtId="0" fontId="48" fillId="21" borderId="0" applyNumberFormat="0" applyBorder="0" applyAlignment="0" applyProtection="0"/>
    <xf numFmtId="214" fontId="115" fillId="55" borderId="0" applyNumberFormat="0" applyBorder="0" applyAlignment="0" applyProtection="0"/>
    <xf numFmtId="0" fontId="48" fillId="16" borderId="0" applyNumberFormat="0" applyBorder="0" applyAlignment="0" applyProtection="0"/>
    <xf numFmtId="214" fontId="115" fillId="56" borderId="0" applyNumberFormat="0" applyBorder="0" applyAlignment="0" applyProtection="0"/>
    <xf numFmtId="0" fontId="48" fillId="17" borderId="0" applyNumberFormat="0" applyBorder="0" applyAlignment="0" applyProtection="0"/>
    <xf numFmtId="214" fontId="115" fillId="57" borderId="0" applyNumberFormat="0" applyBorder="0" applyAlignment="0" applyProtection="0"/>
    <xf numFmtId="0" fontId="48" fillId="22" borderId="0" applyNumberFormat="0" applyBorder="0" applyAlignment="0" applyProtection="0"/>
    <xf numFmtId="214" fontId="115" fillId="58" borderId="0" applyNumberFormat="0" applyBorder="0" applyAlignment="0" applyProtection="0"/>
    <xf numFmtId="0" fontId="49" fillId="6" borderId="0" applyNumberFormat="0" applyBorder="0" applyAlignment="0" applyProtection="0"/>
    <xf numFmtId="214" fontId="116" fillId="59" borderId="0" applyNumberFormat="0" applyBorder="0" applyAlignment="0" applyProtection="0"/>
    <xf numFmtId="215" fontId="85" fillId="0" borderId="0" applyFont="0" applyFill="0" applyBorder="0" applyAlignment="0" applyProtection="0"/>
    <xf numFmtId="3" fontId="117" fillId="60" borderId="24">
      <alignment vertical="center" wrapText="1"/>
    </xf>
    <xf numFmtId="0" fontId="50" fillId="23" borderId="2" applyNumberFormat="0" applyAlignment="0" applyProtection="0"/>
    <xf numFmtId="167" fontId="1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118" fillId="0" borderId="25" applyNumberFormat="0" applyFill="0" applyAlignment="0" applyProtection="0"/>
    <xf numFmtId="0" fontId="86" fillId="0" borderId="4" applyNumberFormat="0" applyFont="0" applyFill="0" applyAlignment="0" applyProtection="0"/>
    <xf numFmtId="0" fontId="51" fillId="24" borderId="5" applyNumberFormat="0" applyAlignment="0" applyProtection="0"/>
    <xf numFmtId="214" fontId="119" fillId="61" borderId="26" applyNumberFormat="0" applyAlignment="0" applyProtection="0"/>
    <xf numFmtId="214" fontId="87" fillId="6" borderId="0" applyNumberFormat="0" applyBorder="0" applyAlignment="0" applyProtection="0"/>
    <xf numFmtId="0" fontId="120" fillId="59" borderId="0" applyNumberFormat="0" applyBorder="0" applyAlignment="0" applyProtection="0"/>
    <xf numFmtId="189" fontId="12" fillId="0" borderId="0">
      <protection locked="0"/>
    </xf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>
      <alignment horizontal="right"/>
    </xf>
    <xf numFmtId="187" fontId="9" fillId="0" borderId="0" applyFont="0" applyFill="0" applyBorder="0" applyAlignment="0" applyProtection="0"/>
    <xf numFmtId="3" fontId="14" fillId="0" borderId="0" applyFont="0" applyFill="0" applyBorder="0" applyAlignment="0" applyProtection="0"/>
    <xf numFmtId="189" fontId="12" fillId="0" borderId="0">
      <protection locked="0"/>
    </xf>
    <xf numFmtId="189" fontId="12" fillId="0" borderId="0">
      <protection locked="0"/>
    </xf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>
      <alignment horizontal="right"/>
    </xf>
    <xf numFmtId="186" fontId="9" fillId="0" borderId="0" applyFont="0" applyFill="0" applyBorder="0" applyAlignment="0" applyProtection="0"/>
    <xf numFmtId="216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5" fillId="2" borderId="0"/>
    <xf numFmtId="0" fontId="86" fillId="0" borderId="0" applyFont="0" applyFill="0" applyBorder="0" applyAlignment="0" applyProtection="0"/>
    <xf numFmtId="175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53" fillId="7" borderId="0" applyNumberFormat="0" applyBorder="0" applyAlignment="0" applyProtection="0"/>
    <xf numFmtId="0" fontId="13" fillId="0" borderId="6" applyNumberFormat="0" applyFont="0" applyFill="0" applyAlignment="0" applyProtection="0"/>
    <xf numFmtId="0" fontId="13" fillId="0" borderId="6" applyNumberFormat="0" applyFont="0" applyFill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9" fontId="15" fillId="0" borderId="0">
      <protection locked="0"/>
    </xf>
    <xf numFmtId="189" fontId="15" fillId="0" borderId="0">
      <protection locked="0"/>
    </xf>
    <xf numFmtId="189" fontId="89" fillId="0" borderId="0">
      <protection locked="0"/>
    </xf>
    <xf numFmtId="189" fontId="11" fillId="0" borderId="0">
      <protection locked="0"/>
    </xf>
    <xf numFmtId="189" fontId="11" fillId="0" borderId="0">
      <protection locked="0"/>
    </xf>
    <xf numFmtId="189" fontId="90" fillId="0" borderId="0">
      <protection locked="0"/>
    </xf>
    <xf numFmtId="9" fontId="16" fillId="0" borderId="7" applyNumberFormat="0" applyBorder="0" applyAlignment="0">
      <protection locked="0"/>
    </xf>
    <xf numFmtId="192" fontId="9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72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3" fontId="91" fillId="0" borderId="0" applyFont="0" applyFill="0" applyBorder="0" applyAlignment="0" applyProtection="0"/>
    <xf numFmtId="3" fontId="86" fillId="0" borderId="0" applyFont="0" applyFill="0" applyBorder="0" applyAlignment="0" applyProtection="0"/>
    <xf numFmtId="4" fontId="75" fillId="2" borderId="0"/>
    <xf numFmtId="3" fontId="75" fillId="2" borderId="0"/>
    <xf numFmtId="2" fontId="8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Fill="0" applyBorder="0" applyProtection="0">
      <alignment horizontal="left"/>
    </xf>
    <xf numFmtId="0" fontId="19" fillId="0" borderId="0" applyFill="0" applyBorder="0" applyProtection="0">
      <alignment horizontal="left"/>
    </xf>
    <xf numFmtId="0" fontId="44" fillId="0" borderId="8"/>
    <xf numFmtId="214" fontId="44" fillId="0" borderId="8"/>
    <xf numFmtId="0" fontId="53" fillId="7" borderId="0" applyNumberFormat="0" applyBorder="0" applyAlignment="0" applyProtection="0"/>
    <xf numFmtId="214" fontId="121" fillId="62" borderId="0" applyNumberFormat="0" applyBorder="0" applyAlignment="0" applyProtection="0"/>
    <xf numFmtId="38" fontId="44" fillId="3" borderId="0" applyNumberFormat="0" applyBorder="0" applyAlignment="0" applyProtection="0"/>
    <xf numFmtId="0" fontId="73" fillId="25" borderId="9" applyAlignment="0" applyProtection="0"/>
    <xf numFmtId="4" fontId="92" fillId="0" borderId="0">
      <alignment vertical="center"/>
    </xf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>
      <alignment horizontal="right"/>
    </xf>
    <xf numFmtId="0" fontId="20" fillId="0" borderId="0" applyProtection="0">
      <alignment horizontal="right"/>
    </xf>
    <xf numFmtId="0" fontId="20" fillId="0" borderId="0" applyProtection="0">
      <alignment horizontal="right"/>
    </xf>
    <xf numFmtId="0" fontId="93" fillId="0" borderId="10" applyNumberFormat="0" applyAlignment="0" applyProtection="0">
      <alignment horizontal="left" vertical="center"/>
    </xf>
    <xf numFmtId="0" fontId="93" fillId="0" borderId="9">
      <alignment horizontal="left" vertical="center"/>
    </xf>
    <xf numFmtId="14" fontId="21" fillId="26" borderId="11">
      <alignment horizontal="center" vertical="center" wrapText="1"/>
    </xf>
    <xf numFmtId="0" fontId="54" fillId="0" borderId="12" applyNumberFormat="0" applyFill="0" applyAlignment="0" applyProtection="0"/>
    <xf numFmtId="214" fontId="122" fillId="0" borderId="27" applyNumberFormat="0" applyFill="0" applyAlignment="0" applyProtection="0"/>
    <xf numFmtId="0" fontId="22" fillId="0" borderId="0" applyProtection="0">
      <alignment horizontal="left"/>
    </xf>
    <xf numFmtId="214" fontId="123" fillId="0" borderId="28" applyNumberFormat="0" applyFill="0" applyAlignment="0" applyProtection="0"/>
    <xf numFmtId="0" fontId="22" fillId="0" borderId="0" applyProtection="0">
      <alignment horizontal="left"/>
    </xf>
    <xf numFmtId="0" fontId="23" fillId="0" borderId="0" applyProtection="0">
      <alignment horizontal="left"/>
    </xf>
    <xf numFmtId="214" fontId="124" fillId="0" borderId="29" applyNumberFormat="0" applyFill="0" applyAlignment="0" applyProtection="0"/>
    <xf numFmtId="0" fontId="23" fillId="0" borderId="0" applyProtection="0">
      <alignment horizontal="left"/>
    </xf>
    <xf numFmtId="0" fontId="55" fillId="0" borderId="0" applyNumberFormat="0" applyFill="0" applyBorder="0" applyAlignment="0" applyProtection="0"/>
    <xf numFmtId="214" fontId="124" fillId="0" borderId="0" applyNumberFormat="0" applyFill="0" applyBorder="0" applyAlignment="0" applyProtection="0"/>
    <xf numFmtId="170" fontId="24" fillId="0" borderId="0"/>
    <xf numFmtId="168" fontId="25" fillId="0" borderId="0"/>
    <xf numFmtId="0" fontId="62" fillId="0" borderId="0" applyNumberFormat="0" applyFill="0" applyBorder="0" applyAlignment="0" applyProtection="0">
      <alignment vertical="top"/>
      <protection locked="0"/>
    </xf>
    <xf numFmtId="214" fontId="94" fillId="0" borderId="0" applyNumberFormat="0" applyFill="0" applyBorder="0" applyAlignment="0" applyProtection="0">
      <alignment vertical="top"/>
      <protection locked="0"/>
    </xf>
    <xf numFmtId="170" fontId="24" fillId="4" borderId="13"/>
    <xf numFmtId="10" fontId="44" fillId="4" borderId="7" applyNumberFormat="0" applyBorder="0" applyAlignment="0" applyProtection="0"/>
    <xf numFmtId="168" fontId="25" fillId="4" borderId="13"/>
    <xf numFmtId="0" fontId="26" fillId="0" borderId="14" applyFill="0" applyBorder="0" applyAlignment="0" applyProtection="0"/>
    <xf numFmtId="0" fontId="95" fillId="0" borderId="0"/>
    <xf numFmtId="0" fontId="51" fillId="24" borderId="5" applyNumberFormat="0" applyAlignment="0" applyProtection="0"/>
    <xf numFmtId="214" fontId="96" fillId="24" borderId="5" applyNumberFormat="0" applyAlignment="0" applyProtection="0"/>
    <xf numFmtId="0" fontId="125" fillId="61" borderId="26" applyNumberFormat="0" applyAlignment="0" applyProtection="0"/>
    <xf numFmtId="0" fontId="56" fillId="0" borderId="15" applyNumberFormat="0" applyFill="0" applyAlignment="0" applyProtection="0"/>
    <xf numFmtId="214" fontId="126" fillId="0" borderId="30" applyNumberFormat="0" applyFill="0" applyAlignment="0" applyProtection="0"/>
    <xf numFmtId="0" fontId="10" fillId="0" borderId="0"/>
    <xf numFmtId="214" fontId="72" fillId="0" borderId="0">
      <alignment vertical="top"/>
    </xf>
    <xf numFmtId="214" fontId="83" fillId="0" borderId="0"/>
    <xf numFmtId="214" fontId="72" fillId="0" borderId="0">
      <alignment vertical="top"/>
    </xf>
    <xf numFmtId="0" fontId="5" fillId="0" borderId="0"/>
    <xf numFmtId="0" fontId="2" fillId="0" borderId="0"/>
    <xf numFmtId="164" fontId="91" fillId="0" borderId="0" applyFont="0" applyFill="0" applyBorder="0" applyAlignment="0" applyProtection="0"/>
    <xf numFmtId="217" fontId="86" fillId="0" borderId="0" applyFont="0" applyFill="0" applyBorder="0" applyAlignment="0" applyProtection="0"/>
    <xf numFmtId="165" fontId="75" fillId="2" borderId="0"/>
    <xf numFmtId="164" fontId="75" fillId="2" borderId="0"/>
    <xf numFmtId="189" fontId="11" fillId="0" borderId="0">
      <protection locked="0"/>
    </xf>
    <xf numFmtId="199" fontId="45" fillId="0" borderId="0"/>
    <xf numFmtId="0" fontId="13" fillId="0" borderId="0" applyFont="0" applyFill="0" applyBorder="0" applyAlignment="0" applyProtection="0">
      <alignment horizontal="right"/>
    </xf>
    <xf numFmtId="0" fontId="13" fillId="0" borderId="0" applyFont="0" applyFill="0" applyBorder="0" applyAlignment="0" applyProtection="0">
      <alignment horizontal="right"/>
    </xf>
    <xf numFmtId="3" fontId="97" fillId="27" borderId="16">
      <alignment horizontal="center"/>
    </xf>
    <xf numFmtId="0" fontId="127" fillId="0" borderId="27" applyNumberFormat="0" applyFill="0" applyAlignment="0" applyProtection="0"/>
    <xf numFmtId="0" fontId="128" fillId="0" borderId="28" applyNumberFormat="0" applyFill="0" applyAlignment="0" applyProtection="0"/>
    <xf numFmtId="0" fontId="129" fillId="0" borderId="29" applyNumberFormat="0" applyFill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57" fillId="28" borderId="0" applyNumberFormat="0" applyBorder="0" applyAlignment="0" applyProtection="0"/>
    <xf numFmtId="0" fontId="57" fillId="28" borderId="0" applyNumberFormat="0" applyBorder="0" applyAlignment="0" applyProtection="0"/>
    <xf numFmtId="0" fontId="131" fillId="63" borderId="0" applyNumberFormat="0" applyBorder="0" applyAlignment="0" applyProtection="0"/>
    <xf numFmtId="189" fontId="15" fillId="0" borderId="0">
      <protection locked="0"/>
    </xf>
    <xf numFmtId="218" fontId="8" fillId="0" borderId="0"/>
    <xf numFmtId="214" fontId="132" fillId="0" borderId="0"/>
    <xf numFmtId="189" fontId="27" fillId="0" borderId="0">
      <protection locked="0"/>
    </xf>
    <xf numFmtId="0" fontId="7" fillId="0" borderId="0" applyFill="0">
      <alignment horizontal="left" vertical="center" wrapText="1"/>
    </xf>
    <xf numFmtId="0" fontId="28" fillId="0" borderId="0"/>
    <xf numFmtId="0" fontId="28" fillId="0" borderId="0"/>
    <xf numFmtId="0" fontId="5" fillId="0" borderId="0"/>
    <xf numFmtId="0" fontId="86" fillId="0" borderId="0"/>
    <xf numFmtId="0" fontId="5" fillId="0" borderId="0">
      <alignment vertical="top"/>
    </xf>
    <xf numFmtId="0" fontId="63" fillId="0" borderId="0">
      <alignment vertical="top"/>
    </xf>
    <xf numFmtId="0" fontId="5" fillId="0" borderId="0">
      <alignment vertical="top"/>
    </xf>
    <xf numFmtId="0" fontId="113" fillId="0" borderId="0"/>
    <xf numFmtId="0" fontId="21" fillId="0" borderId="0"/>
    <xf numFmtId="214" fontId="132" fillId="0" borderId="0"/>
    <xf numFmtId="0" fontId="5" fillId="0" borderId="0"/>
    <xf numFmtId="0" fontId="63" fillId="0" borderId="0"/>
    <xf numFmtId="0" fontId="43" fillId="0" borderId="0"/>
    <xf numFmtId="0" fontId="1" fillId="0" borderId="0" applyProtection="0"/>
    <xf numFmtId="0" fontId="63" fillId="0" borderId="0"/>
    <xf numFmtId="0" fontId="1" fillId="0" borderId="0"/>
    <xf numFmtId="0" fontId="5" fillId="29" borderId="17" applyNumberFormat="0" applyFont="0" applyAlignment="0" applyProtection="0"/>
    <xf numFmtId="214" fontId="2" fillId="29" borderId="17" applyNumberFormat="0" applyFont="0" applyAlignment="0" applyProtection="0"/>
    <xf numFmtId="214" fontId="133" fillId="64" borderId="31" applyNumberFormat="0" applyFont="0" applyAlignment="0" applyProtection="0"/>
    <xf numFmtId="4" fontId="98" fillId="0" borderId="0"/>
    <xf numFmtId="49" fontId="45" fillId="0" borderId="0"/>
    <xf numFmtId="0" fontId="58" fillId="23" borderId="18" applyNumberFormat="0" applyAlignment="0" applyProtection="0"/>
    <xf numFmtId="1" fontId="29" fillId="0" borderId="0" applyProtection="0">
      <alignment horizontal="right" vertical="center"/>
    </xf>
    <xf numFmtId="171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85" fontId="10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NumberFormat="0" applyFont="0" applyFill="0" applyBorder="0" applyAlignment="0" applyProtection="0"/>
    <xf numFmtId="2" fontId="75" fillId="2" borderId="0"/>
    <xf numFmtId="2" fontId="63" fillId="0" borderId="0" applyFont="0" applyFill="0" applyBorder="0" applyAlignment="0" applyProtection="0"/>
    <xf numFmtId="2" fontId="86" fillId="0" borderId="0" applyFont="0" applyFill="0" applyBorder="0" applyAlignment="0" applyProtection="0"/>
    <xf numFmtId="0" fontId="113" fillId="64" borderId="31" applyNumberFormat="0" applyFont="0" applyAlignment="0" applyProtection="0"/>
    <xf numFmtId="0" fontId="56" fillId="0" borderId="15" applyNumberFormat="0" applyFill="0" applyAlignment="0" applyProtection="0"/>
    <xf numFmtId="9" fontId="1" fillId="0" borderId="0" applyFont="0" applyFill="0" applyBorder="0" applyAlignment="0" applyProtection="0"/>
    <xf numFmtId="9" fontId="63" fillId="0" borderId="0" applyFont="0" applyFill="0" applyBorder="0" applyAlignment="0" applyProtection="0"/>
    <xf numFmtId="214" fontId="99" fillId="0" borderId="15" applyNumberFormat="0" applyFill="0" applyAlignment="0" applyProtection="0"/>
    <xf numFmtId="0" fontId="134" fillId="0" borderId="30" applyNumberFormat="0" applyFill="0" applyAlignment="0" applyProtection="0"/>
    <xf numFmtId="0" fontId="30" fillId="0" borderId="19" applyNumberFormat="0" applyBorder="0" applyAlignment="0"/>
    <xf numFmtId="3" fontId="135" fillId="0" borderId="24">
      <alignment vertical="center" wrapText="1"/>
    </xf>
    <xf numFmtId="3" fontId="136" fillId="0" borderId="32">
      <alignment wrapText="1"/>
    </xf>
    <xf numFmtId="0" fontId="31" fillId="0" borderId="20">
      <alignment vertical="center"/>
    </xf>
    <xf numFmtId="0" fontId="31" fillId="0" borderId="20">
      <alignment vertical="center"/>
    </xf>
    <xf numFmtId="214" fontId="72" fillId="30" borderId="0" applyNumberFormat="0" applyFont="0" applyBorder="0" applyAlignment="0" applyProtection="0">
      <alignment vertical="top"/>
    </xf>
    <xf numFmtId="0" fontId="5" fillId="31" borderId="0" applyNumberFormat="0" applyFont="0" applyBorder="0" applyAlignment="0" applyProtection="0"/>
    <xf numFmtId="0" fontId="5" fillId="23" borderId="0" applyNumberFormat="0" applyFont="0" applyBorder="0" applyAlignment="0" applyProtection="0"/>
    <xf numFmtId="214" fontId="72" fillId="0" borderId="0" applyNumberFormat="0" applyFont="0" applyFill="0" applyBorder="0" applyAlignment="0" applyProtection="0">
      <alignment vertical="top"/>
    </xf>
    <xf numFmtId="0" fontId="5" fillId="23" borderId="0" applyNumberFormat="0" applyFont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Border="0" applyAlignment="0" applyProtection="0"/>
    <xf numFmtId="4" fontId="100" fillId="0" borderId="0"/>
    <xf numFmtId="214" fontId="101" fillId="0" borderId="0" applyNumberFormat="0" applyFill="0" applyBorder="0" applyAlignment="0" applyProtection="0">
      <alignment vertical="top"/>
      <protection locked="0"/>
    </xf>
    <xf numFmtId="214" fontId="102" fillId="0" borderId="0" applyNumberFormat="0" applyFill="0" applyBorder="0" applyAlignment="0" applyProtection="0">
      <alignment vertical="top"/>
      <protection locked="0"/>
    </xf>
    <xf numFmtId="0" fontId="60" fillId="0" borderId="3" applyNumberFormat="0" applyFill="0" applyAlignment="0" applyProtection="0"/>
    <xf numFmtId="214" fontId="103" fillId="7" borderId="0" applyNumberFormat="0" applyBorder="0" applyAlignment="0" applyProtection="0"/>
    <xf numFmtId="0" fontId="137" fillId="62" borderId="0" applyNumberFormat="0" applyBorder="0" applyAlignment="0" applyProtection="0"/>
    <xf numFmtId="0" fontId="72" fillId="0" borderId="0"/>
    <xf numFmtId="214" fontId="133" fillId="0" borderId="0"/>
    <xf numFmtId="214" fontId="133" fillId="0" borderId="0"/>
    <xf numFmtId="214" fontId="133" fillId="0" borderId="0"/>
    <xf numFmtId="214" fontId="2" fillId="0" borderId="0"/>
    <xf numFmtId="0" fontId="72" fillId="0" borderId="0"/>
    <xf numFmtId="0" fontId="104" fillId="0" borderId="0"/>
    <xf numFmtId="0" fontId="2" fillId="0" borderId="0"/>
    <xf numFmtId="0" fontId="9" fillId="0" borderId="0"/>
    <xf numFmtId="3" fontId="9" fillId="0" borderId="0"/>
    <xf numFmtId="3" fontId="5" fillId="0" borderId="0"/>
    <xf numFmtId="214" fontId="72" fillId="0" borderId="0">
      <alignment vertical="top"/>
    </xf>
    <xf numFmtId="0" fontId="100" fillId="3" borderId="0"/>
    <xf numFmtId="0" fontId="7" fillId="0" borderId="0">
      <alignment wrapText="1"/>
    </xf>
    <xf numFmtId="0" fontId="105" fillId="0" borderId="0">
      <alignment horizontal="left"/>
    </xf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74" fillId="0" borderId="0"/>
    <xf numFmtId="0" fontId="5" fillId="0" borderId="0"/>
    <xf numFmtId="214" fontId="5" fillId="0" borderId="0"/>
    <xf numFmtId="0" fontId="106" fillId="0" borderId="0" applyNumberFormat="0" applyFill="0" applyBorder="0" applyAlignment="0"/>
    <xf numFmtId="3" fontId="138" fillId="65" borderId="33"/>
    <xf numFmtId="188" fontId="32" fillId="9" borderId="21"/>
    <xf numFmtId="0" fontId="5" fillId="0" borderId="0"/>
    <xf numFmtId="0" fontId="33" fillId="0" borderId="0" applyBorder="0" applyProtection="0">
      <alignment vertical="center"/>
    </xf>
    <xf numFmtId="0" fontId="33" fillId="0" borderId="0" applyBorder="0" applyProtection="0">
      <alignment vertical="center"/>
    </xf>
    <xf numFmtId="0" fontId="33" fillId="0" borderId="22" applyBorder="0" applyProtection="0">
      <alignment horizontal="right" vertical="center"/>
    </xf>
    <xf numFmtId="0" fontId="33" fillId="0" borderId="22" applyBorder="0" applyProtection="0">
      <alignment horizontal="right" vertical="center"/>
    </xf>
    <xf numFmtId="0" fontId="34" fillId="32" borderId="0" applyBorder="0" applyProtection="0">
      <alignment horizontal="centerContinuous" vertical="center"/>
    </xf>
    <xf numFmtId="0" fontId="34" fillId="32" borderId="0" applyBorder="0" applyProtection="0">
      <alignment horizontal="centerContinuous" vertical="center"/>
    </xf>
    <xf numFmtId="0" fontId="34" fillId="33" borderId="22" applyBorder="0" applyProtection="0">
      <alignment horizontal="centerContinuous" vertical="center"/>
    </xf>
    <xf numFmtId="0" fontId="34" fillId="33" borderId="22" applyBorder="0" applyProtection="0">
      <alignment horizontal="centerContinuous" vertical="center"/>
    </xf>
    <xf numFmtId="0" fontId="35" fillId="0" borderId="0"/>
    <xf numFmtId="0" fontId="28" fillId="0" borderId="0"/>
    <xf numFmtId="0" fontId="28" fillId="0" borderId="0"/>
    <xf numFmtId="0" fontId="36" fillId="0" borderId="0" applyFill="0" applyBorder="0" applyProtection="0">
      <alignment horizontal="left"/>
    </xf>
    <xf numFmtId="0" fontId="36" fillId="0" borderId="0" applyFill="0" applyBorder="0" applyProtection="0">
      <alignment horizontal="left"/>
    </xf>
    <xf numFmtId="0" fontId="19" fillId="0" borderId="23" applyFill="0" applyBorder="0" applyProtection="0">
      <alignment horizontal="left" vertical="top"/>
    </xf>
    <xf numFmtId="0" fontId="19" fillId="0" borderId="23" applyFill="0" applyBorder="0" applyProtection="0">
      <alignment horizontal="left" vertical="top"/>
    </xf>
    <xf numFmtId="0" fontId="37" fillId="0" borderId="0">
      <alignment horizontal="centerContinuous"/>
    </xf>
    <xf numFmtId="0" fontId="38" fillId="0" borderId="0"/>
    <xf numFmtId="0" fontId="38" fillId="0" borderId="0"/>
    <xf numFmtId="0" fontId="39" fillId="0" borderId="0"/>
    <xf numFmtId="0" fontId="39" fillId="0" borderId="0"/>
    <xf numFmtId="214" fontId="10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" fillId="0" borderId="0" applyFill="0" applyBorder="0" applyProtection="0">
      <alignment horizontal="left" vertical="top"/>
    </xf>
    <xf numFmtId="0" fontId="59" fillId="0" borderId="0" applyNumberFormat="0" applyFill="0" applyBorder="0" applyAlignment="0" applyProtection="0"/>
    <xf numFmtId="214" fontId="14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8" fontId="40" fillId="5" borderId="21"/>
    <xf numFmtId="0" fontId="60" fillId="0" borderId="3" applyNumberFormat="0" applyFill="0" applyAlignment="0" applyProtection="0"/>
    <xf numFmtId="0" fontId="60" fillId="0" borderId="3" applyNumberFormat="0" applyFill="0" applyAlignment="0" applyProtection="0"/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41" fillId="0" borderId="0">
      <alignment horizontal="fill"/>
    </xf>
    <xf numFmtId="171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41" fillId="66" borderId="34" applyNumberFormat="0" applyAlignment="0" applyProtection="0"/>
    <xf numFmtId="0" fontId="142" fillId="67" borderId="34" applyNumberFormat="0" applyAlignment="0" applyProtection="0"/>
    <xf numFmtId="0" fontId="143" fillId="67" borderId="35" applyNumberFormat="0" applyAlignment="0" applyProtection="0"/>
    <xf numFmtId="214" fontId="108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3" fontId="63" fillId="34" borderId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83" fontId="5" fillId="0" borderId="0"/>
    <xf numFmtId="184" fontId="10" fillId="0" borderId="0" applyFont="0" applyBorder="0">
      <alignment horizontal="right"/>
    </xf>
    <xf numFmtId="14" fontId="85" fillId="0" borderId="0" applyFont="0" applyFill="0" applyBorder="0" applyProtection="0"/>
    <xf numFmtId="0" fontId="42" fillId="0" borderId="22" applyBorder="0" applyProtection="0">
      <alignment horizontal="right"/>
    </xf>
    <xf numFmtId="0" fontId="42" fillId="0" borderId="22" applyBorder="0" applyProtection="0">
      <alignment horizontal="right"/>
    </xf>
    <xf numFmtId="0" fontId="109" fillId="2" borderId="0"/>
    <xf numFmtId="0" fontId="110" fillId="0" borderId="0" applyNumberFormat="0" applyFill="0" applyBorder="0" applyAlignment="0" applyProtection="0"/>
    <xf numFmtId="0" fontId="111" fillId="2" borderId="0"/>
    <xf numFmtId="0" fontId="112" fillId="0" borderId="0" applyNumberFormat="0" applyFill="0" applyBorder="0" applyAlignment="0" applyProtection="0"/>
    <xf numFmtId="0" fontId="49" fillId="6" borderId="0" applyNumberFormat="0" applyBorder="0" applyAlignment="0" applyProtection="0"/>
    <xf numFmtId="214" fontId="84" fillId="19" borderId="0" applyNumberFormat="0" applyBorder="0" applyAlignment="0" applyProtection="0"/>
    <xf numFmtId="214" fontId="84" fillId="20" borderId="0" applyNumberFormat="0" applyBorder="0" applyAlignment="0" applyProtection="0"/>
    <xf numFmtId="214" fontId="84" fillId="21" borderId="0" applyNumberFormat="0" applyBorder="0" applyAlignment="0" applyProtection="0"/>
    <xf numFmtId="214" fontId="84" fillId="16" borderId="0" applyNumberFormat="0" applyBorder="0" applyAlignment="0" applyProtection="0"/>
    <xf numFmtId="214" fontId="84" fillId="17" borderId="0" applyNumberFormat="0" applyBorder="0" applyAlignment="0" applyProtection="0"/>
    <xf numFmtId="214" fontId="84" fillId="22" borderId="0" applyNumberFormat="0" applyBorder="0" applyAlignment="0" applyProtection="0"/>
    <xf numFmtId="0" fontId="114" fillId="53" borderId="0" applyNumberFormat="0" applyBorder="0" applyAlignment="0" applyProtection="0"/>
    <xf numFmtId="0" fontId="114" fillId="54" borderId="0" applyNumberFormat="0" applyBorder="0" applyAlignment="0" applyProtection="0"/>
    <xf numFmtId="0" fontId="114" fillId="55" borderId="0" applyNumberFormat="0" applyBorder="0" applyAlignment="0" applyProtection="0"/>
    <xf numFmtId="0" fontId="114" fillId="56" borderId="0" applyNumberFormat="0" applyBorder="0" applyAlignment="0" applyProtection="0"/>
    <xf numFmtId="0" fontId="114" fillId="57" borderId="0" applyNumberFormat="0" applyBorder="0" applyAlignment="0" applyProtection="0"/>
    <xf numFmtId="0" fontId="114" fillId="58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22" borderId="0" applyNumberFormat="0" applyBorder="0" applyAlignment="0" applyProtection="0"/>
    <xf numFmtId="214" fontId="73" fillId="0" borderId="0" applyNumberFormat="0" applyFill="0" applyAlignment="0" applyProtection="0"/>
    <xf numFmtId="214" fontId="8" fillId="0" borderId="0"/>
    <xf numFmtId="9" fontId="1" fillId="0" borderId="0" applyFont="0" applyFill="0" applyBorder="0" applyAlignment="0" applyProtection="0"/>
    <xf numFmtId="0" fontId="145" fillId="0" borderId="0" applyNumberFormat="0" applyFill="0" applyBorder="0" applyAlignment="0" applyProtection="0">
      <alignment vertical="top"/>
    </xf>
    <xf numFmtId="0" fontId="132" fillId="0" borderId="0" applyNumberFormat="0" applyFont="0" applyFill="0" applyBorder="0" applyProtection="0">
      <alignment horizontal="right" vertical="center"/>
    </xf>
    <xf numFmtId="43" fontId="1" fillId="0" borderId="0" applyFont="0" applyFill="0" applyBorder="0" applyAlignment="0" applyProtection="0"/>
  </cellStyleXfs>
  <cellXfs count="166">
    <xf numFmtId="0" fontId="0" fillId="0" borderId="0" xfId="0" applyAlignment="1"/>
    <xf numFmtId="0" fontId="67" fillId="68" borderId="0" xfId="396" applyFont="1" applyFill="1"/>
    <xf numFmtId="0" fontId="66" fillId="68" borderId="0" xfId="396" applyFont="1" applyFill="1"/>
    <xf numFmtId="0" fontId="68" fillId="68" borderId="0" xfId="396" applyFont="1" applyFill="1"/>
    <xf numFmtId="0" fontId="69" fillId="68" borderId="0" xfId="396" applyFont="1" applyFill="1" applyAlignment="1">
      <alignment horizontal="left"/>
    </xf>
    <xf numFmtId="0" fontId="70" fillId="68" borderId="0" xfId="396" applyFont="1" applyFill="1" applyAlignment="1">
      <alignment horizontal="left"/>
    </xf>
    <xf numFmtId="0" fontId="71" fillId="68" borderId="0" xfId="396" applyFont="1" applyFill="1"/>
    <xf numFmtId="0" fontId="5" fillId="68" borderId="0" xfId="396" applyFont="1" applyFill="1"/>
    <xf numFmtId="0" fontId="21" fillId="68" borderId="0" xfId="396" applyFont="1" applyFill="1"/>
    <xf numFmtId="169" fontId="5" fillId="68" borderId="0" xfId="396" applyNumberFormat="1" applyFont="1" applyFill="1" applyAlignment="1">
      <alignment horizontal="center" vertical="top" wrapText="1"/>
    </xf>
    <xf numFmtId="0" fontId="148" fillId="68" borderId="0" xfId="396" applyFont="1" applyFill="1"/>
    <xf numFmtId="0" fontId="105" fillId="68" borderId="0" xfId="396" applyFont="1" applyFill="1"/>
    <xf numFmtId="0" fontId="67" fillId="0" borderId="0" xfId="0" applyFont="1" applyAlignment="1"/>
    <xf numFmtId="0" fontId="5" fillId="0" borderId="0" xfId="0" applyFont="1" applyAlignment="1"/>
    <xf numFmtId="0" fontId="5" fillId="68" borderId="0" xfId="0" applyFont="1" applyFill="1" applyAlignment="1"/>
    <xf numFmtId="0" fontId="151" fillId="0" borderId="0" xfId="0" applyFont="1" applyAlignment="1"/>
    <xf numFmtId="0" fontId="21" fillId="0" borderId="19" xfId="0" applyFont="1" applyBorder="1" applyAlignment="1"/>
    <xf numFmtId="3" fontId="5" fillId="68" borderId="0" xfId="0" applyNumberFormat="1" applyFont="1" applyFill="1" applyAlignment="1"/>
    <xf numFmtId="3" fontId="5" fillId="0" borderId="0" xfId="0" applyNumberFormat="1" applyFont="1" applyAlignment="1">
      <alignment horizontal="right"/>
    </xf>
    <xf numFmtId="3" fontId="5" fillId="68" borderId="0" xfId="0" applyNumberFormat="1" applyFont="1" applyFill="1" applyAlignment="1">
      <alignment horizontal="right"/>
    </xf>
    <xf numFmtId="10" fontId="5" fillId="0" borderId="0" xfId="0" applyNumberFormat="1" applyFont="1" applyAlignment="1"/>
    <xf numFmtId="3" fontId="67" fillId="68" borderId="0" xfId="0" applyNumberFormat="1" applyFont="1" applyFill="1" applyAlignment="1"/>
    <xf numFmtId="3" fontId="67" fillId="68" borderId="0" xfId="0" applyNumberFormat="1" applyFont="1" applyFill="1" applyAlignment="1">
      <alignment horizontal="right"/>
    </xf>
    <xf numFmtId="0" fontId="152" fillId="0" borderId="0" xfId="0" applyFont="1" applyAlignment="1">
      <alignment horizontal="left"/>
    </xf>
    <xf numFmtId="213" fontId="147" fillId="72" borderId="0" xfId="0" applyNumberFormat="1" applyFont="1" applyFill="1" applyAlignment="1"/>
    <xf numFmtId="0" fontId="150" fillId="0" borderId="0" xfId="0" applyFont="1" applyAlignment="1"/>
    <xf numFmtId="213" fontId="146" fillId="72" borderId="0" xfId="0" applyNumberFormat="1" applyFont="1" applyFill="1" applyAlignment="1"/>
    <xf numFmtId="0" fontId="153" fillId="68" borderId="0" xfId="0" applyFont="1" applyFill="1" applyAlignment="1">
      <alignment horizontal="left"/>
    </xf>
    <xf numFmtId="0" fontId="5" fillId="68" borderId="0" xfId="0" applyFont="1" applyFill="1" applyAlignment="1">
      <alignment horizontal="left"/>
    </xf>
    <xf numFmtId="0" fontId="67" fillId="68" borderId="0" xfId="0" applyFont="1" applyFill="1" applyAlignment="1">
      <alignment horizontal="left"/>
    </xf>
    <xf numFmtId="3" fontId="5" fillId="68" borderId="0" xfId="0" applyNumberFormat="1" applyFont="1" applyFill="1" applyAlignment="1">
      <alignment horizontal="left"/>
    </xf>
    <xf numFmtId="0" fontId="107" fillId="68" borderId="0" xfId="0" applyFont="1" applyFill="1" applyAlignment="1">
      <alignment horizontal="left"/>
    </xf>
    <xf numFmtId="0" fontId="5" fillId="73" borderId="0" xfId="0" applyFont="1" applyFill="1" applyAlignment="1"/>
    <xf numFmtId="3" fontId="5" fillId="73" borderId="0" xfId="0" applyNumberFormat="1" applyFont="1" applyFill="1" applyAlignment="1">
      <alignment horizontal="right"/>
    </xf>
    <xf numFmtId="0" fontId="5" fillId="73" borderId="0" xfId="0" applyFont="1" applyFill="1" applyAlignment="1">
      <alignment wrapText="1"/>
    </xf>
    <xf numFmtId="0" fontId="5" fillId="74" borderId="0" xfId="0" applyFont="1" applyFill="1" applyAlignment="1"/>
    <xf numFmtId="3" fontId="5" fillId="74" borderId="0" xfId="0" applyNumberFormat="1" applyFont="1" applyFill="1" applyAlignment="1">
      <alignment horizontal="right"/>
    </xf>
    <xf numFmtId="0" fontId="5" fillId="69" borderId="0" xfId="0" applyFont="1" applyFill="1" applyAlignment="1">
      <alignment horizontal="left" wrapText="1"/>
    </xf>
    <xf numFmtId="3" fontId="5" fillId="69" borderId="0" xfId="0" applyNumberFormat="1" applyFont="1" applyFill="1" applyAlignment="1">
      <alignment horizontal="right"/>
    </xf>
    <xf numFmtId="0" fontId="5" fillId="69" borderId="0" xfId="0" applyFont="1" applyFill="1" applyAlignment="1">
      <alignment horizontal="left" vertical="center" wrapText="1"/>
    </xf>
    <xf numFmtId="0" fontId="5" fillId="69" borderId="0" xfId="0" applyFont="1" applyFill="1" applyAlignment="1"/>
    <xf numFmtId="0" fontId="5" fillId="69" borderId="0" xfId="0" applyFont="1" applyFill="1" applyAlignment="1">
      <alignment horizontal="left" indent="1"/>
    </xf>
    <xf numFmtId="0" fontId="146" fillId="75" borderId="0" xfId="0" applyFont="1" applyFill="1" applyAlignment="1">
      <alignment horizontal="left" indent="1"/>
    </xf>
    <xf numFmtId="3" fontId="146" fillId="75" borderId="0" xfId="0" applyNumberFormat="1" applyFont="1" applyFill="1" applyAlignment="1">
      <alignment horizontal="right"/>
    </xf>
    <xf numFmtId="0" fontId="147" fillId="75" borderId="0" xfId="0" applyFont="1" applyFill="1" applyAlignment="1"/>
    <xf numFmtId="3" fontId="147" fillId="75" borderId="0" xfId="0" applyNumberFormat="1" applyFont="1" applyFill="1" applyAlignment="1">
      <alignment horizontal="right"/>
    </xf>
    <xf numFmtId="0" fontId="5" fillId="69" borderId="0" xfId="0" applyFont="1" applyFill="1" applyAlignment="1">
      <alignment horizontal="right"/>
    </xf>
    <xf numFmtId="168" fontId="5" fillId="69" borderId="0" xfId="0" applyNumberFormat="1" applyFont="1" applyFill="1" applyAlignment="1">
      <alignment horizontal="right"/>
    </xf>
    <xf numFmtId="0" fontId="147" fillId="72" borderId="0" xfId="0" applyFont="1" applyFill="1" applyAlignment="1"/>
    <xf numFmtId="0" fontId="146" fillId="70" borderId="0" xfId="0" applyFont="1" applyFill="1" applyAlignment="1"/>
    <xf numFmtId="3" fontId="146" fillId="72" borderId="0" xfId="0" applyNumberFormat="1" applyFont="1" applyFill="1" applyAlignment="1">
      <alignment horizontal="right"/>
    </xf>
    <xf numFmtId="3" fontId="146" fillId="70" borderId="0" xfId="0" applyNumberFormat="1" applyFont="1" applyFill="1" applyAlignment="1">
      <alignment horizontal="right"/>
    </xf>
    <xf numFmtId="0" fontId="146" fillId="72" borderId="0" xfId="0" applyFont="1" applyFill="1" applyAlignment="1"/>
    <xf numFmtId="0" fontId="151" fillId="69" borderId="0" xfId="0" applyFont="1" applyFill="1" applyAlignment="1">
      <alignment wrapText="1"/>
    </xf>
    <xf numFmtId="3" fontId="6" fillId="68" borderId="0" xfId="0" applyNumberFormat="1" applyFont="1" applyFill="1" applyAlignment="1">
      <alignment horizontal="right"/>
    </xf>
    <xf numFmtId="0" fontId="5" fillId="69" borderId="0" xfId="0" applyFont="1" applyFill="1" applyAlignment="1">
      <alignment wrapText="1"/>
    </xf>
    <xf numFmtId="3" fontId="147" fillId="75" borderId="0" xfId="0" applyNumberFormat="1" applyFont="1" applyFill="1" applyAlignment="1"/>
    <xf numFmtId="3" fontId="146" fillId="72" borderId="0" xfId="0" applyNumberFormat="1" applyFont="1" applyFill="1" applyAlignment="1"/>
    <xf numFmtId="0" fontId="67" fillId="68" borderId="0" xfId="0" applyFont="1" applyFill="1" applyAlignment="1"/>
    <xf numFmtId="3" fontId="152" fillId="68" borderId="0" xfId="0" applyNumberFormat="1" applyFont="1" applyFill="1" applyAlignment="1">
      <alignment wrapText="1"/>
    </xf>
    <xf numFmtId="3" fontId="152" fillId="68" borderId="0" xfId="0" applyNumberFormat="1" applyFont="1" applyFill="1" applyAlignment="1"/>
    <xf numFmtId="3" fontId="146" fillId="70" borderId="0" xfId="395" applyNumberFormat="1" applyFont="1" applyFill="1" applyAlignment="1" applyProtection="1">
      <alignment horizontal="center" vertical="center"/>
      <protection locked="0"/>
    </xf>
    <xf numFmtId="14" fontId="66" fillId="68" borderId="0" xfId="0" applyNumberFormat="1" applyFont="1" applyFill="1" applyAlignment="1" applyProtection="1">
      <alignment horizontal="center" vertical="center" wrapText="1"/>
      <protection locked="0"/>
    </xf>
    <xf numFmtId="14" fontId="66" fillId="68" borderId="0" xfId="0" quotePrefix="1" applyNumberFormat="1" applyFont="1" applyFill="1" applyAlignment="1" applyProtection="1">
      <alignment horizontal="center" vertical="center" wrapText="1"/>
      <protection locked="0"/>
    </xf>
    <xf numFmtId="3" fontId="5" fillId="68" borderId="0" xfId="354" applyNumberFormat="1" applyFont="1" applyFill="1" applyAlignment="1">
      <alignment horizontal="right" vertical="top" wrapText="1"/>
    </xf>
    <xf numFmtId="3" fontId="6" fillId="68" borderId="0" xfId="0" applyNumberFormat="1" applyFont="1" applyFill="1" applyAlignment="1"/>
    <xf numFmtId="3" fontId="147" fillId="71" borderId="0" xfId="0" applyNumberFormat="1" applyFont="1" applyFill="1" applyAlignment="1"/>
    <xf numFmtId="3" fontId="154" fillId="69" borderId="0" xfId="0" applyNumberFormat="1" applyFont="1" applyFill="1" applyAlignment="1"/>
    <xf numFmtId="3" fontId="154" fillId="69" borderId="0" xfId="0" applyNumberFormat="1" applyFont="1" applyFill="1">
      <alignment vertical="top"/>
    </xf>
    <xf numFmtId="3" fontId="147" fillId="72" borderId="0" xfId="0" applyNumberFormat="1" applyFont="1" applyFill="1" applyAlignment="1">
      <alignment horizontal="right"/>
    </xf>
    <xf numFmtId="167" fontId="66" fillId="68" borderId="0" xfId="259" applyFont="1" applyFill="1" applyBorder="1" applyAlignment="1" applyProtection="1">
      <alignment horizontal="center" vertical="center" wrapText="1"/>
      <protection locked="0"/>
    </xf>
    <xf numFmtId="0" fontId="147" fillId="70" borderId="0" xfId="0" applyFont="1" applyFill="1" applyAlignment="1">
      <alignment horizontal="center"/>
    </xf>
    <xf numFmtId="3" fontId="154" fillId="68" borderId="0" xfId="0" applyNumberFormat="1" applyFont="1" applyFill="1" applyAlignment="1"/>
    <xf numFmtId="3" fontId="154" fillId="68" borderId="0" xfId="0" applyNumberFormat="1" applyFont="1" applyFill="1">
      <alignment vertical="top"/>
    </xf>
    <xf numFmtId="3" fontId="154" fillId="68" borderId="0" xfId="0" applyNumberFormat="1" applyFont="1" applyFill="1" applyAlignment="1">
      <alignment horizontal="left" indent="1"/>
    </xf>
    <xf numFmtId="211" fontId="146" fillId="72" borderId="0" xfId="0" applyNumberFormat="1" applyFont="1" applyFill="1" applyAlignment="1">
      <alignment horizontal="right"/>
    </xf>
    <xf numFmtId="3" fontId="67" fillId="68" borderId="0" xfId="0" applyNumberFormat="1" applyFont="1" applyFill="1">
      <alignment vertical="top"/>
    </xf>
    <xf numFmtId="3" fontId="146" fillId="72" borderId="0" xfId="0" applyNumberFormat="1" applyFont="1" applyFill="1" applyAlignment="1">
      <alignment horizontal="left"/>
    </xf>
    <xf numFmtId="3" fontId="6" fillId="68" borderId="0" xfId="395" applyNumberFormat="1" applyFont="1" applyFill="1"/>
    <xf numFmtId="212" fontId="146" fillId="72" borderId="0" xfId="0" applyNumberFormat="1" applyFont="1" applyFill="1" applyAlignment="1">
      <alignment horizontal="right"/>
    </xf>
    <xf numFmtId="3" fontId="67" fillId="68" borderId="0" xfId="395" applyNumberFormat="1" applyFont="1" applyFill="1"/>
    <xf numFmtId="0" fontId="5" fillId="68" borderId="0" xfId="395" applyFont="1" applyFill="1" applyAlignment="1">
      <alignment horizontal="left"/>
    </xf>
    <xf numFmtId="0" fontId="154" fillId="68" borderId="0" xfId="0" applyFont="1" applyFill="1" applyAlignment="1"/>
    <xf numFmtId="3" fontId="67" fillId="0" borderId="0" xfId="0" applyNumberFormat="1" applyFont="1" applyAlignment="1">
      <alignment horizontal="right"/>
    </xf>
    <xf numFmtId="10" fontId="67" fillId="0" borderId="0" xfId="0" applyNumberFormat="1" applyFont="1" applyAlignment="1"/>
    <xf numFmtId="0" fontId="21" fillId="0" borderId="0" xfId="0" applyFont="1" applyAlignment="1"/>
    <xf numFmtId="0" fontId="105" fillId="0" borderId="0" xfId="0" applyFont="1" applyAlignment="1"/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vertical="center" wrapText="1"/>
    </xf>
    <xf numFmtId="0" fontId="155" fillId="0" borderId="0" xfId="540" applyFont="1" applyAlignment="1" applyProtection="1"/>
    <xf numFmtId="3" fontId="156" fillId="0" borderId="0" xfId="0" applyNumberFormat="1" applyFont="1" applyAlignment="1"/>
    <xf numFmtId="0" fontId="156" fillId="0" borderId="0" xfId="0" applyFont="1" applyAlignment="1">
      <alignment horizontal="left"/>
    </xf>
    <xf numFmtId="0" fontId="98" fillId="0" borderId="0" xfId="0" applyFont="1" applyAlignment="1"/>
    <xf numFmtId="0" fontId="98" fillId="0" borderId="0" xfId="0" applyFont="1">
      <alignment vertical="top"/>
    </xf>
    <xf numFmtId="14" fontId="5" fillId="0" borderId="0" xfId="0" applyNumberFormat="1" applyFont="1" applyAlignment="1"/>
    <xf numFmtId="213" fontId="21" fillId="0" borderId="36" xfId="0" applyNumberFormat="1" applyFont="1" applyBorder="1" applyAlignment="1"/>
    <xf numFmtId="213" fontId="21" fillId="0" borderId="36" xfId="0" applyNumberFormat="1" applyFont="1" applyBorder="1" applyAlignment="1">
      <alignment horizontal="right"/>
    </xf>
    <xf numFmtId="0" fontId="21" fillId="0" borderId="38" xfId="0" applyFont="1" applyBorder="1" applyAlignment="1"/>
    <xf numFmtId="3" fontId="5" fillId="68" borderId="37" xfId="0" applyNumberFormat="1" applyFont="1" applyFill="1" applyBorder="1" applyAlignment="1"/>
    <xf numFmtId="3" fontId="5" fillId="0" borderId="37" xfId="0" applyNumberFormat="1" applyFont="1" applyBorder="1" applyAlignment="1"/>
    <xf numFmtId="3" fontId="5" fillId="68" borderId="37" xfId="0" applyNumberFormat="1" applyFont="1" applyFill="1" applyBorder="1" applyAlignment="1">
      <alignment horizontal="right"/>
    </xf>
    <xf numFmtId="0" fontId="21" fillId="0" borderId="39" xfId="0" applyFont="1" applyBorder="1" applyAlignment="1"/>
    <xf numFmtId="3" fontId="5" fillId="68" borderId="22" xfId="0" applyNumberFormat="1" applyFont="1" applyFill="1" applyBorder="1" applyAlignment="1"/>
    <xf numFmtId="0" fontId="21" fillId="0" borderId="37" xfId="0" applyFont="1" applyBorder="1" applyAlignment="1"/>
    <xf numFmtId="168" fontId="5" fillId="68" borderId="37" xfId="0" applyNumberFormat="1" applyFont="1" applyFill="1" applyBorder="1" applyAlignment="1"/>
    <xf numFmtId="168" fontId="5" fillId="0" borderId="37" xfId="0" applyNumberFormat="1" applyFont="1" applyBorder="1" applyAlignment="1"/>
    <xf numFmtId="0" fontId="21" fillId="68" borderId="37" xfId="0" applyFont="1" applyFill="1" applyBorder="1" applyAlignment="1"/>
    <xf numFmtId="168" fontId="5" fillId="68" borderId="37" xfId="0" applyNumberFormat="1" applyFont="1" applyFill="1" applyBorder="1" applyAlignment="1">
      <alignment horizontal="right"/>
    </xf>
    <xf numFmtId="168" fontId="5" fillId="0" borderId="37" xfId="0" applyNumberFormat="1" applyFont="1" applyBorder="1" applyAlignment="1">
      <alignment horizontal="right"/>
    </xf>
    <xf numFmtId="0" fontId="21" fillId="0" borderId="37" xfId="0" applyFont="1" applyBorder="1" applyAlignment="1">
      <alignment wrapText="1"/>
    </xf>
    <xf numFmtId="0" fontId="21" fillId="0" borderId="36" xfId="0" applyFont="1" applyBorder="1" applyAlignment="1"/>
    <xf numFmtId="3" fontId="21" fillId="68" borderId="36" xfId="395" applyNumberFormat="1" applyFont="1" applyFill="1" applyBorder="1" applyAlignment="1" applyProtection="1">
      <alignment horizontal="center" vertical="center"/>
      <protection locked="0"/>
    </xf>
    <xf numFmtId="0" fontId="5" fillId="76" borderId="22" xfId="0" applyFont="1" applyFill="1" applyBorder="1" applyAlignment="1">
      <alignment vertical="center"/>
    </xf>
    <xf numFmtId="0" fontId="5" fillId="76" borderId="37" xfId="0" applyFont="1" applyFill="1" applyBorder="1" applyAlignment="1">
      <alignment vertical="center"/>
    </xf>
    <xf numFmtId="3" fontId="5" fillId="76" borderId="22" xfId="0" applyNumberFormat="1" applyFont="1" applyFill="1" applyBorder="1" applyAlignment="1">
      <alignment horizontal="right" vertical="center"/>
    </xf>
    <xf numFmtId="3" fontId="5" fillId="76" borderId="37" xfId="0" applyNumberFormat="1" applyFont="1" applyFill="1" applyBorder="1" applyAlignment="1">
      <alignment horizontal="right" vertical="center"/>
    </xf>
    <xf numFmtId="0" fontId="21" fillId="0" borderId="40" xfId="0" applyFont="1" applyBorder="1" applyAlignment="1">
      <alignment vertical="center"/>
    </xf>
    <xf numFmtId="3" fontId="21" fillId="0" borderId="40" xfId="0" applyNumberFormat="1" applyFont="1" applyBorder="1" applyAlignment="1">
      <alignment horizontal="right" vertical="center"/>
    </xf>
    <xf numFmtId="0" fontId="5" fillId="76" borderId="37" xfId="0" applyFont="1" applyFill="1" applyBorder="1" applyAlignment="1">
      <alignment horizontal="left" vertical="center" indent="1"/>
    </xf>
    <xf numFmtId="0" fontId="5" fillId="76" borderId="41" xfId="0" applyFont="1" applyFill="1" applyBorder="1" applyAlignment="1">
      <alignment horizontal="left" vertical="center" indent="1"/>
    </xf>
    <xf numFmtId="3" fontId="5" fillId="76" borderId="41" xfId="0" applyNumberFormat="1" applyFont="1" applyFill="1" applyBorder="1" applyAlignment="1">
      <alignment horizontal="right" vertical="center"/>
    </xf>
    <xf numFmtId="0" fontId="5" fillId="76" borderId="37" xfId="0" applyFont="1" applyFill="1" applyBorder="1" applyAlignment="1">
      <alignment horizontal="left" vertical="center" wrapText="1"/>
    </xf>
    <xf numFmtId="213" fontId="21" fillId="68" borderId="36" xfId="0" applyNumberFormat="1" applyFont="1" applyFill="1" applyBorder="1" applyAlignment="1">
      <alignment vertical="center"/>
    </xf>
    <xf numFmtId="0" fontId="5" fillId="68" borderId="0" xfId="0" applyFont="1" applyFill="1" applyAlignment="1">
      <alignment vertical="center"/>
    </xf>
    <xf numFmtId="3" fontId="21" fillId="0" borderId="36" xfId="0" applyNumberFormat="1" applyFont="1" applyBorder="1" applyAlignment="1">
      <alignment horizontal="right" vertical="center"/>
    </xf>
    <xf numFmtId="0" fontId="154" fillId="68" borderId="11" xfId="0" applyFont="1" applyFill="1" applyBorder="1" applyAlignment="1">
      <alignment vertical="center"/>
    </xf>
    <xf numFmtId="168" fontId="154" fillId="68" borderId="11" xfId="539" applyNumberFormat="1" applyFont="1" applyFill="1" applyBorder="1" applyAlignment="1">
      <alignment horizontal="right" vertical="center"/>
    </xf>
    <xf numFmtId="0" fontId="154" fillId="68" borderId="0" xfId="0" applyFont="1" applyFill="1" applyAlignment="1">
      <alignment vertical="center"/>
    </xf>
    <xf numFmtId="0" fontId="154" fillId="68" borderId="10" xfId="0" applyFont="1" applyFill="1" applyBorder="1" applyAlignment="1">
      <alignment vertical="center"/>
    </xf>
    <xf numFmtId="168" fontId="154" fillId="68" borderId="10" xfId="539" applyNumberFormat="1" applyFont="1" applyFill="1" applyBorder="1" applyAlignment="1">
      <alignment horizontal="right" vertical="center"/>
    </xf>
    <xf numFmtId="0" fontId="21" fillId="0" borderId="36" xfId="0" applyFont="1" applyBorder="1" applyAlignment="1">
      <alignment vertical="center"/>
    </xf>
    <xf numFmtId="0" fontId="21" fillId="0" borderId="42" xfId="0" applyFont="1" applyBorder="1" applyAlignment="1">
      <alignment vertical="center"/>
    </xf>
    <xf numFmtId="3" fontId="21" fillId="0" borderId="42" xfId="0" applyNumberFormat="1" applyFont="1" applyBorder="1" applyAlignment="1">
      <alignment horizontal="right" vertical="center"/>
    </xf>
    <xf numFmtId="0" fontId="105" fillId="68" borderId="0" xfId="0" applyFont="1" applyFill="1">
      <alignment vertical="top"/>
    </xf>
    <xf numFmtId="3" fontId="21" fillId="68" borderId="36" xfId="395" applyNumberFormat="1" applyFont="1" applyFill="1" applyBorder="1" applyAlignment="1" applyProtection="1">
      <alignment horizontal="left" vertical="center"/>
      <protection locked="0"/>
    </xf>
    <xf numFmtId="0" fontId="105" fillId="68" borderId="0" xfId="0" applyFont="1" applyFill="1" applyAlignment="1">
      <alignment vertical="center"/>
    </xf>
    <xf numFmtId="0" fontId="21" fillId="0" borderId="36" xfId="0" applyFont="1" applyBorder="1" applyAlignment="1">
      <alignment horizontal="left" vertical="center" indent="1"/>
    </xf>
    <xf numFmtId="0" fontId="21" fillId="0" borderId="36" xfId="0" applyFont="1" applyBorder="1" applyAlignment="1">
      <alignment horizontal="right"/>
    </xf>
    <xf numFmtId="0" fontId="21" fillId="0" borderId="40" xfId="0" applyFont="1" applyBorder="1" applyAlignment="1"/>
    <xf numFmtId="3" fontId="21" fillId="0" borderId="40" xfId="542" applyNumberFormat="1" applyFont="1" applyFill="1" applyBorder="1" applyAlignment="1">
      <alignment horizontal="right"/>
    </xf>
    <xf numFmtId="10" fontId="21" fillId="0" borderId="40" xfId="539" applyNumberFormat="1" applyFont="1" applyFill="1" applyBorder="1" applyAlignment="1">
      <alignment horizontal="right"/>
    </xf>
    <xf numFmtId="0" fontId="67" fillId="68" borderId="0" xfId="396" applyFont="1" applyFill="1" applyAlignment="1">
      <alignment vertical="center"/>
    </xf>
    <xf numFmtId="169" fontId="5" fillId="68" borderId="37" xfId="396" applyNumberFormat="1" applyFont="1" applyFill="1" applyBorder="1" applyAlignment="1">
      <alignment horizontal="center" vertical="top" wrapText="1"/>
    </xf>
    <xf numFmtId="169" fontId="5" fillId="68" borderId="22" xfId="396" applyNumberFormat="1" applyFont="1" applyFill="1" applyBorder="1" applyAlignment="1">
      <alignment horizontal="center" vertical="top" wrapText="1"/>
    </xf>
    <xf numFmtId="0" fontId="21" fillId="0" borderId="11" xfId="396" applyFont="1" applyBorder="1" applyAlignment="1">
      <alignment vertical="top" wrapText="1"/>
    </xf>
    <xf numFmtId="0" fontId="21" fillId="0" borderId="11" xfId="396" applyFont="1" applyBorder="1" applyAlignment="1">
      <alignment horizontal="center" vertical="top" wrapText="1"/>
    </xf>
    <xf numFmtId="169" fontId="5" fillId="68" borderId="41" xfId="396" applyNumberFormat="1" applyFont="1" applyFill="1" applyBorder="1" applyAlignment="1">
      <alignment horizontal="center" vertical="top" wrapText="1"/>
    </xf>
    <xf numFmtId="169" fontId="5" fillId="0" borderId="10" xfId="396" applyNumberFormat="1" applyFont="1" applyBorder="1" applyAlignment="1">
      <alignment horizontal="center" vertical="top" wrapText="1"/>
    </xf>
    <xf numFmtId="0" fontId="5" fillId="68" borderId="22" xfId="396" applyFont="1" applyFill="1" applyBorder="1" applyAlignment="1">
      <alignment vertical="center" wrapText="1"/>
    </xf>
    <xf numFmtId="0" fontId="5" fillId="68" borderId="37" xfId="396" applyFont="1" applyFill="1" applyBorder="1" applyAlignment="1">
      <alignment vertical="center" wrapText="1"/>
    </xf>
    <xf numFmtId="0" fontId="5" fillId="68" borderId="41" xfId="396" applyFont="1" applyFill="1" applyBorder="1" applyAlignment="1">
      <alignment vertical="center" wrapText="1"/>
    </xf>
    <xf numFmtId="0" fontId="21" fillId="0" borderId="10" xfId="396" applyFont="1" applyBorder="1" applyAlignment="1">
      <alignment vertical="center" wrapText="1"/>
    </xf>
    <xf numFmtId="168" fontId="154" fillId="68" borderId="43" xfId="539" applyNumberFormat="1" applyFont="1" applyFill="1" applyBorder="1" applyAlignment="1">
      <alignment horizontal="right" vertical="center"/>
    </xf>
    <xf numFmtId="0" fontId="21" fillId="0" borderId="44" xfId="396" applyFont="1" applyBorder="1" applyAlignment="1">
      <alignment vertical="center" wrapText="1"/>
    </xf>
    <xf numFmtId="0" fontId="21" fillId="0" borderId="44" xfId="396" applyFont="1" applyBorder="1" applyAlignment="1">
      <alignment horizontal="center" vertical="center" wrapText="1"/>
    </xf>
    <xf numFmtId="0" fontId="67" fillId="68" borderId="45" xfId="396" applyFont="1" applyFill="1" applyBorder="1"/>
    <xf numFmtId="0" fontId="66" fillId="68" borderId="45" xfId="396" applyFont="1" applyFill="1" applyBorder="1"/>
    <xf numFmtId="169" fontId="158" fillId="68" borderId="22" xfId="396" applyNumberFormat="1" applyFont="1" applyFill="1" applyBorder="1" applyAlignment="1">
      <alignment horizontal="center" vertical="top" wrapText="1"/>
    </xf>
    <xf numFmtId="169" fontId="158" fillId="68" borderId="37" xfId="396" applyNumberFormat="1" applyFont="1" applyFill="1" applyBorder="1" applyAlignment="1">
      <alignment horizontal="center" vertical="top" wrapText="1"/>
    </xf>
    <xf numFmtId="169" fontId="158" fillId="68" borderId="41" xfId="396" applyNumberFormat="1" applyFont="1" applyFill="1" applyBorder="1" applyAlignment="1">
      <alignment horizontal="center" vertical="top" wrapText="1"/>
    </xf>
    <xf numFmtId="169" fontId="158" fillId="0" borderId="43" xfId="396" applyNumberFormat="1" applyFont="1" applyBorder="1" applyAlignment="1">
      <alignment horizontal="center" vertical="top" wrapText="1"/>
    </xf>
    <xf numFmtId="3" fontId="5" fillId="68" borderId="46" xfId="0" applyNumberFormat="1" applyFont="1" applyFill="1" applyBorder="1" applyAlignment="1"/>
    <xf numFmtId="169" fontId="5" fillId="0" borderId="43" xfId="396" applyNumberFormat="1" applyFont="1" applyBorder="1" applyAlignment="1">
      <alignment horizontal="center" vertical="top" wrapText="1"/>
    </xf>
    <xf numFmtId="0" fontId="149" fillId="68" borderId="0" xfId="396" applyFont="1" applyFill="1" applyAlignment="1">
      <alignment horizontal="left" wrapText="1"/>
    </xf>
    <xf numFmtId="0" fontId="21" fillId="0" borderId="44" xfId="396" applyFont="1" applyBorder="1" applyAlignment="1">
      <alignment horizontal="center" vertical="center" wrapText="1"/>
    </xf>
    <xf numFmtId="0" fontId="158" fillId="68" borderId="45" xfId="396" applyFont="1" applyFill="1" applyBorder="1" applyAlignment="1">
      <alignment horizontal="center"/>
    </xf>
  </cellXfs>
  <cellStyles count="543">
    <cellStyle name=" 1" xfId="1" xr:uid="{00000000-0005-0000-0000-000000000000}"/>
    <cellStyle name="_x000a_386grabber=S" xfId="2" xr:uid="{00000000-0005-0000-0000-000001000000}"/>
    <cellStyle name="_x000a_386grabber=S 2" xfId="3" xr:uid="{00000000-0005-0000-0000-000002000000}"/>
    <cellStyle name="% procenta" xfId="4" xr:uid="{00000000-0005-0000-0000-000003000000}"/>
    <cellStyle name="???????_fin1" xfId="5" xr:uid="{00000000-0005-0000-0000-000004000000}"/>
    <cellStyle name="]_x000d__x000a_Extension=conv.dll_x000d__x000a_MS-DOS Tools Extentions=C:\DOS\MSTOOLS.DLL_x000d__x000a__x000d__x000a_[Settings]_x000d__x000a_UNDELETE.DLL=C:\DOS\MSTOOLS.DLL_x000d__x000a_W" xfId="6" xr:uid="{00000000-0005-0000-0000-000005000000}"/>
    <cellStyle name="]_x000d__x000a_Extension=conv.dll_x000d__x000a_MS-DOS Tools Extentions=C:\DOS\MSTOOLS.DLL_x000d__x000a__x000d__x000a_[Settings]_x000d__x000a_UNDELETE.DLL=C:\DOS\MSTOOLS.DLL_x000d__x000a_W 2" xfId="7" xr:uid="{00000000-0005-0000-0000-000006000000}"/>
    <cellStyle name="]_x000d__x000a_Setup=1_x000d__x000a_Version=1.30.172.0_x000d__x000a__x000d__x000a_[OLE]_x000d__x000a_Setup=1_x000d__x000a_Version=2.3.130.168_x000d__x000a__x000d__x000a_[Nls]_x000d__x000a_AnsiCP=1252_x000d__x000a__x000d__x000a_[Freecell]_x000d__x000a_Setup=1_x000d_" xfId="8" xr:uid="{00000000-0005-0000-0000-000007000000}"/>
    <cellStyle name="_!1Q 08 aj_LocRep Template (CZ)" xfId="9" xr:uid="{00000000-0005-0000-0000-000008000000}"/>
    <cellStyle name="_0709_CC_B2_reports" xfId="10" xr:uid="{00000000-0005-0000-0000-000009000000}"/>
    <cellStyle name="_1 5QF_IR" xfId="11" xr:uid="{00000000-0005-0000-0000-00000A000000}"/>
    <cellStyle name="_1.ACC-BAL" xfId="12" xr:uid="{00000000-0005-0000-0000-00000B000000}"/>
    <cellStyle name="_1.ACC-BAL_back up_podklady Q3 11" xfId="13" xr:uid="{00000000-0005-0000-0000-00000C000000}"/>
    <cellStyle name="_2007_1Q_Group_and_Subs" xfId="14" xr:uid="{00000000-0005-0000-0000-00000D000000}"/>
    <cellStyle name="_5.KONSOLIDIERUNGSINFO" xfId="15" xr:uid="{00000000-0005-0000-0000-00000E000000}"/>
    <cellStyle name="_ACT08 vs BGT09" xfId="16" xr:uid="{00000000-0005-0000-0000-00000F000000}"/>
    <cellStyle name="_ALL" xfId="17" xr:uid="{00000000-0005-0000-0000-000010000000}"/>
    <cellStyle name="_Back up detail NPL Q1 10" xfId="18" xr:uid="{00000000-0005-0000-0000-000011000000}"/>
    <cellStyle name="_back up_podklady" xfId="19" xr:uid="{00000000-0005-0000-0000-000012000000}"/>
    <cellStyle name="_Book2" xfId="20" xr:uid="{00000000-0005-0000-0000-000013000000}"/>
    <cellStyle name="_Book2 2" xfId="21" xr:uid="{00000000-0005-0000-0000-000014000000}"/>
    <cellStyle name="_Budget_COST_SIDE PB" xfId="22" xr:uid="{00000000-0005-0000-0000-000015000000}"/>
    <cellStyle name="_CDO" xfId="23" xr:uid="{00000000-0005-0000-0000-000016000000}"/>
    <cellStyle name="_Ceska budget transformation for GITO_v16_20070801" xfId="24" xr:uid="{00000000-0005-0000-0000-000017000000}"/>
    <cellStyle name="_CLO development" xfId="25" xr:uid="{00000000-0005-0000-0000-000018000000}"/>
    <cellStyle name="_cmd" xfId="26" xr:uid="{00000000-0005-0000-0000-000019000000}"/>
    <cellStyle name="_CMD_3qf_b1214" xfId="27" xr:uid="{00000000-0005-0000-0000-00001A000000}"/>
    <cellStyle name="_'CMDPresentation - DatasheetCS_1H2007" xfId="28" xr:uid="{00000000-0005-0000-0000-00001B000000}"/>
    <cellStyle name="_Column1" xfId="29" xr:uid="{00000000-0005-0000-0000-00001C000000}"/>
    <cellStyle name="_Column2" xfId="30" xr:uid="{00000000-0005-0000-0000-00001D000000}"/>
    <cellStyle name="_Column3" xfId="31" xr:uid="{00000000-0005-0000-0000-00001E000000}"/>
    <cellStyle name="_Column4" xfId="32" xr:uid="{00000000-0005-0000-0000-00001F000000}"/>
    <cellStyle name="_Column4_IR Toolkit New" xfId="33" xr:uid="{00000000-0005-0000-0000-000020000000}"/>
    <cellStyle name="_Column4_IR Toolkit New 2" xfId="34" xr:uid="{00000000-0005-0000-0000-000021000000}"/>
    <cellStyle name="_Column4_IR Toolkit New_PIIGS 201109 disclosure" xfId="35" xr:uid="{00000000-0005-0000-0000-000022000000}"/>
    <cellStyle name="_Column5" xfId="36" xr:uid="{00000000-0005-0000-0000-000023000000}"/>
    <cellStyle name="_Column6" xfId="37" xr:uid="{00000000-0005-0000-0000-000024000000}"/>
    <cellStyle name="_Column7" xfId="38" xr:uid="{00000000-0005-0000-0000-000025000000}"/>
    <cellStyle name="_Column7 2" xfId="39" xr:uid="{00000000-0005-0000-0000-000026000000}"/>
    <cellStyle name="_Column7_091030_Credit risk template_asset_quality" xfId="40" xr:uid="{00000000-0005-0000-0000-000027000000}"/>
    <cellStyle name="_Column7_091030_Credit risk template_asset_quality 2" xfId="41" xr:uid="{00000000-0005-0000-0000-000028000000}"/>
    <cellStyle name="_Column7_2007 Group Reporting Template" xfId="42" xr:uid="{00000000-0005-0000-0000-000029000000}"/>
    <cellStyle name="_Column7_2007 Group Reporting Template 2" xfId="43" xr:uid="{00000000-0005-0000-0000-00002A000000}"/>
    <cellStyle name="_Column7_Accounting template" xfId="44" xr:uid="{00000000-0005-0000-0000-00002B000000}"/>
    <cellStyle name="_Column7_Accounting template 2" xfId="45" xr:uid="{00000000-0005-0000-0000-00002C000000}"/>
    <cellStyle name="_Column7_IR Toolkit New" xfId="46" xr:uid="{00000000-0005-0000-0000-00002D000000}"/>
    <cellStyle name="_Column7_IR Toolkit New 2" xfId="47" xr:uid="{00000000-0005-0000-0000-00002E000000}"/>
    <cellStyle name="_comparison per capita" xfId="48" xr:uid="{00000000-0005-0000-0000-00002F000000}"/>
    <cellStyle name="_CS (2)" xfId="49" xr:uid="{00000000-0005-0000-0000-000030000000}"/>
    <cellStyle name="_CS portfolio overview 0806" xfId="50" xr:uid="{00000000-0005-0000-0000-000031000000}"/>
    <cellStyle name="_CS_0612 (3)" xfId="51" xr:uid="{00000000-0005-0000-0000-000032000000}"/>
    <cellStyle name="_CS_subs_interface_200804a" xfId="52" xr:uid="{00000000-0005-0000-0000-000033000000}"/>
    <cellStyle name="_CSGROUP_vyssi o 500mio_IR" xfId="53" xr:uid="{00000000-0005-0000-0000-000034000000}"/>
    <cellStyle name="_Data" xfId="54" xr:uid="{00000000-0005-0000-0000-000035000000}"/>
    <cellStyle name="_Data 2" xfId="55" xr:uid="{00000000-0005-0000-0000-000036000000}"/>
    <cellStyle name="_ESB_GITO COSTS ALLOCATION BASELINE Q1F2005" xfId="56" xr:uid="{00000000-0005-0000-0000-000037000000}"/>
    <cellStyle name="_FOR_IR (2)" xfId="57" xr:uid="{00000000-0005-0000-0000-000038000000}"/>
    <cellStyle name="_Forecast_IR" xfId="58" xr:uid="{00000000-0005-0000-0000-000039000000}"/>
    <cellStyle name="_Forecast_source1" xfId="59" xr:uid="{00000000-0005-0000-0000-00003A000000}"/>
    <cellStyle name="_Forecast_tab" xfId="60" xr:uid="{00000000-0005-0000-0000-00003B000000}"/>
    <cellStyle name="_GPM Matrix_new_ 080227d" xfId="61" xr:uid="{00000000-0005-0000-0000-00003C000000}"/>
    <cellStyle name="_Header" xfId="62" xr:uid="{00000000-0005-0000-0000-00003D000000}"/>
    <cellStyle name="_hu_reforms_update GDP" xfId="63" xr:uid="{00000000-0005-0000-0000-00003E000000}"/>
    <cellStyle name="_IR_loans_depo_bud09" xfId="64" xr:uid="{00000000-0005-0000-0000-00003F000000}"/>
    <cellStyle name="_IR_Náklady rozklad_NGA 2006_2008" xfId="65" xr:uid="{00000000-0005-0000-0000-000040000000}"/>
    <cellStyle name="_K_11_07" xfId="66" xr:uid="{00000000-0005-0000-0000-000041000000}"/>
    <cellStyle name="_K_12_07_audit_def" xfId="67" xr:uid="{00000000-0005-0000-0000-000042000000}"/>
    <cellStyle name="_List1" xfId="68" xr:uid="{00000000-0005-0000-0000-000043000000}"/>
    <cellStyle name="_loans to deposits ratio (5)" xfId="69" xr:uid="{00000000-0005-0000-0000-000044000000}"/>
    <cellStyle name="_Macro 0807" xfId="70" xr:uid="{00000000-0005-0000-0000-000045000000}"/>
    <cellStyle name="_Mappe3" xfId="71" xr:uid="{00000000-0005-0000-0000-000046000000}"/>
    <cellStyle name="_Mappe3 2" xfId="72" xr:uid="{00000000-0005-0000-0000-000047000000}"/>
    <cellStyle name="_Mappe3_PIIGS 201109 disclosure" xfId="73" xr:uid="{00000000-0005-0000-0000-000048000000}"/>
    <cellStyle name="_Mappe3_PIIGS 201109 disclosure 2" xfId="74" xr:uid="{00000000-0005-0000-0000-000049000000}"/>
    <cellStyle name="_MB_2006_2Q_dcery" xfId="75" xr:uid="{00000000-0005-0000-0000-00004A000000}"/>
    <cellStyle name="_MB_2007_3Q_dita" xfId="76" xr:uid="{00000000-0005-0000-0000-00004B000000}"/>
    <cellStyle name="_MB_DB_2006_2Q" xfId="77" xr:uid="{00000000-0005-0000-0000-00004C000000}"/>
    <cellStyle name="_MB_DB_2006_4Q" xfId="78" xr:uid="{00000000-0005-0000-0000-00004D000000}"/>
    <cellStyle name="_MB_DB_2006_4Q_subs" xfId="79" xr:uid="{00000000-0005-0000-0000-00004E000000}"/>
    <cellStyle name="_MB_DB_2007_2Q_Dita" xfId="80" xr:uid="{00000000-0005-0000-0000-00004F000000}"/>
    <cellStyle name="_MB_DB_2007_2Q_Dita (5)" xfId="81" xr:uid="{00000000-0005-0000-0000-000050000000}"/>
    <cellStyle name="_MB_DB_2007_Q3 (2)" xfId="82" xr:uid="{00000000-0005-0000-0000-000051000000}"/>
    <cellStyle name="_MB_DB_2007_Q4" xfId="83" xr:uid="{00000000-0005-0000-0000-000052000000}"/>
    <cellStyle name="_Náklady rozklad_NGA 2006_2008-2" xfId="84" xr:uid="{00000000-0005-0000-0000-000053000000}"/>
    <cellStyle name="_Náklady rozklad_NGA 2007-07-12" xfId="85" xr:uid="{00000000-0005-0000-0000-000054000000}"/>
    <cellStyle name="_Náklady rozklad_NGA 2007-2008_IR" xfId="86" xr:uid="{00000000-0005-0000-0000-000055000000}"/>
    <cellStyle name="_Náklady rozklad_NGA Q1 09" xfId="87" xr:uid="{00000000-0005-0000-0000-000056000000}"/>
    <cellStyle name="_NEW_1" xfId="88" xr:uid="{00000000-0005-0000-0000-000057000000}"/>
    <cellStyle name="_NEW_1_2007_v2" xfId="89" xr:uid="{00000000-0005-0000-0000-000058000000}"/>
    <cellStyle name="_NEW_1_2007_v2_back up_podklady Q3 11" xfId="90" xr:uid="{00000000-0005-0000-0000-000059000000}"/>
    <cellStyle name="_NEW_1_back up_podklady Q3 11" xfId="91" xr:uid="{00000000-0005-0000-0000-00005A000000}"/>
    <cellStyle name="_NEW_2" xfId="92" xr:uid="{00000000-0005-0000-0000-00005B000000}"/>
    <cellStyle name="_NEW_2_2007_v2" xfId="93" xr:uid="{00000000-0005-0000-0000-00005C000000}"/>
    <cellStyle name="_NEW_2_2007_v2_back up_podklady Q3 11" xfId="94" xr:uid="{00000000-0005-0000-0000-00005D000000}"/>
    <cellStyle name="_NEW_2_back up_podklady Q3 11" xfId="95" xr:uid="{00000000-0005-0000-0000-00005E000000}"/>
    <cellStyle name="_NEW_3" xfId="96" xr:uid="{00000000-0005-0000-0000-00005F000000}"/>
    <cellStyle name="_NEW_3_2007_v2" xfId="97" xr:uid="{00000000-0005-0000-0000-000060000000}"/>
    <cellStyle name="_NEW_3_2007_v2_back up_podklady Q3 11" xfId="98" xr:uid="{00000000-0005-0000-0000-000061000000}"/>
    <cellStyle name="_NEW_3_back up_podklady Q3 11" xfId="99" xr:uid="{00000000-0005-0000-0000-000062000000}"/>
    <cellStyle name="_NEW_4" xfId="100" xr:uid="{00000000-0005-0000-0000-000063000000}"/>
    <cellStyle name="_NEW_4_back up_podklady Q3 11" xfId="101" xr:uid="{00000000-0005-0000-0000-000064000000}"/>
    <cellStyle name="_NEW_5" xfId="102" xr:uid="{00000000-0005-0000-0000-000065000000}"/>
    <cellStyle name="_NEW_5_back up_podklady Q3 11" xfId="103" xr:uid="{00000000-0005-0000-0000-000066000000}"/>
    <cellStyle name="_New_template" xfId="104" xr:uid="{00000000-0005-0000-0000-000067000000}"/>
    <cellStyle name="_opex_gito_nfosistem-održavanje_rn 62407001" xfId="105" xr:uid="{00000000-0005-0000-0000-000068000000}"/>
    <cellStyle name="_Pers cost budget 2007-2009 rozpis final" xfId="106" xr:uid="{00000000-0005-0000-0000-000069000000}"/>
    <cellStyle name="_PF1_RP_31 12 2008" xfId="107" xr:uid="{00000000-0005-0000-0000-00006A000000}"/>
    <cellStyle name="_PL_IR_10-12" xfId="108" xr:uid="{00000000-0005-0000-0000-00006B000000}"/>
    <cellStyle name="_PositionRevaluationBSM 09 12 31" xfId="109" xr:uid="{00000000-0005-0000-0000-00006C000000}"/>
    <cellStyle name="_Press_2006_1Q_subs" xfId="110" xr:uid="{00000000-0005-0000-0000-00006D000000}"/>
    <cellStyle name="_Prezentace_0709" xfId="111" xr:uid="{00000000-0005-0000-0000-00006E000000}"/>
    <cellStyle name="_Provcreation" xfId="112" xr:uid="{00000000-0005-0000-0000-00006F000000}"/>
    <cellStyle name="_Q3 2008 tabulka" xfId="113" xr:uid="{00000000-0005-0000-0000-000070000000}"/>
    <cellStyle name="_REF_tab pro investory" xfId="114" xr:uid="{00000000-0005-0000-0000-000071000000}"/>
    <cellStyle name="_REICO_fin_12_06" xfId="115" xr:uid="{00000000-0005-0000-0000-000072000000}"/>
    <cellStyle name="_REICO_fin_12_06_back up_podklady Q3 11" xfId="116" xr:uid="{00000000-0005-0000-0000-000073000000}"/>
    <cellStyle name="_Reporting Structure_Subs_090224" xfId="117" xr:uid="{00000000-0005-0000-0000-000074000000}"/>
    <cellStyle name="_Row1" xfId="118" xr:uid="{00000000-0005-0000-0000-000075000000}"/>
    <cellStyle name="_Row2" xfId="119" xr:uid="{00000000-0005-0000-0000-000076000000}"/>
    <cellStyle name="_Row3" xfId="120" xr:uid="{00000000-0005-0000-0000-000077000000}"/>
    <cellStyle name="_Row4" xfId="121" xr:uid="{00000000-0005-0000-0000-000078000000}"/>
    <cellStyle name="_Row4 2" xfId="122" xr:uid="{00000000-0005-0000-0000-000079000000}"/>
    <cellStyle name="_Row5" xfId="123" xr:uid="{00000000-0005-0000-0000-00007A000000}"/>
    <cellStyle name="_Row6" xfId="124" xr:uid="{00000000-0005-0000-0000-00007B000000}"/>
    <cellStyle name="_Row7" xfId="125" xr:uid="{00000000-0005-0000-0000-00007C000000}"/>
    <cellStyle name="_Row7 2" xfId="126" xr:uid="{00000000-0005-0000-0000-00007D000000}"/>
    <cellStyle name="_Row7_091030_Credit risk template_asset_quality" xfId="127" xr:uid="{00000000-0005-0000-0000-00007E000000}"/>
    <cellStyle name="_Row7_091030_Credit risk template_asset_quality 2" xfId="128" xr:uid="{00000000-0005-0000-0000-00007F000000}"/>
    <cellStyle name="_Row7_2007 Group Reporting Template" xfId="129" xr:uid="{00000000-0005-0000-0000-000080000000}"/>
    <cellStyle name="_Row7_2007 Group Reporting Template 2" xfId="130" xr:uid="{00000000-0005-0000-0000-000081000000}"/>
    <cellStyle name="_Row7_Accounting template" xfId="131" xr:uid="{00000000-0005-0000-0000-000082000000}"/>
    <cellStyle name="_Row7_Accounting template 2" xfId="132" xr:uid="{00000000-0005-0000-0000-000083000000}"/>
    <cellStyle name="_Row7_IR Toolkit New" xfId="133" xr:uid="{00000000-0005-0000-0000-000084000000}"/>
    <cellStyle name="_Row7_IR Toolkit New 2" xfId="134" xr:uid="{00000000-0005-0000-0000-000085000000}"/>
    <cellStyle name="_Sešit_IR" xfId="135" xr:uid="{00000000-0005-0000-0000-000086000000}"/>
    <cellStyle name="_Sešit1" xfId="136" xr:uid="{00000000-0005-0000-0000-000087000000}"/>
    <cellStyle name="_Sešit4" xfId="137" xr:uid="{00000000-0005-0000-0000-000088000000}"/>
    <cellStyle name="_Tabulky_prez" xfId="138" xr:uid="{00000000-0005-0000-0000-000089000000}"/>
    <cellStyle name="_templates_operating-expenses_capex_Rvd" xfId="139" xr:uid="{00000000-0005-0000-0000-00008A000000}"/>
    <cellStyle name="_Trend of GAE PB and CS Group" xfId="140" xr:uid="{00000000-0005-0000-0000-00008B000000}"/>
    <cellStyle name="_Úpravy leden 06" xfId="141" xr:uid="{00000000-0005-0000-0000-00008C000000}"/>
    <cellStyle name="_Úpravy leden 06_1.ACC-BAL" xfId="142" xr:uid="{00000000-0005-0000-0000-00008D000000}"/>
    <cellStyle name="_Úpravy leden 06_back up_podklady Q3 11" xfId="143" xr:uid="{00000000-0005-0000-0000-00008E000000}"/>
    <cellStyle name="=D:\WINNT\SYSTEM32\COMMAND.COM" xfId="144" xr:uid="{00000000-0005-0000-0000-00008F000000}"/>
    <cellStyle name="=D:\WINNT\SYSTEM32\COMMAND.COM 2" xfId="145" xr:uid="{00000000-0005-0000-0000-000090000000}"/>
    <cellStyle name="=D:\WINNT\SYSTEM32\COMMAND.COM 3" xfId="146" xr:uid="{00000000-0005-0000-0000-000091000000}"/>
    <cellStyle name="0,0x" xfId="147" xr:uid="{00000000-0005-0000-0000-000092000000}"/>
    <cellStyle name="0,0x 2" xfId="148" xr:uid="{00000000-0005-0000-0000-000093000000}"/>
    <cellStyle name="0,0x 3" xfId="149" xr:uid="{00000000-0005-0000-0000-000094000000}"/>
    <cellStyle name="0mitP" xfId="150" xr:uid="{00000000-0005-0000-0000-000095000000}"/>
    <cellStyle name="0ohneP" xfId="151" xr:uid="{00000000-0005-0000-0000-000096000000}"/>
    <cellStyle name="1 000 ke" xfId="152" xr:uid="{00000000-0005-0000-0000-000097000000}"/>
    <cellStyle name="10mitP" xfId="153" xr:uid="{00000000-0005-0000-0000-000098000000}"/>
    <cellStyle name="12mitP" xfId="154" xr:uid="{00000000-0005-0000-0000-000099000000}"/>
    <cellStyle name="12ohneP" xfId="155" xr:uid="{00000000-0005-0000-0000-00009A000000}"/>
    <cellStyle name="13mitP" xfId="156" xr:uid="{00000000-0005-0000-0000-00009B000000}"/>
    <cellStyle name="1mitP" xfId="157" xr:uid="{00000000-0005-0000-0000-00009C000000}"/>
    <cellStyle name="1ohneP" xfId="158" xr:uid="{00000000-0005-0000-0000-00009D000000}"/>
    <cellStyle name="20 % – Zvýrazn?ní1" xfId="159" xr:uid="{00000000-0005-0000-0000-00009E000000}"/>
    <cellStyle name="20 % – Zvýrazn?ní2" xfId="160" xr:uid="{00000000-0005-0000-0000-00009F000000}"/>
    <cellStyle name="20 % – Zvýrazn?ní3" xfId="161" xr:uid="{00000000-0005-0000-0000-0000A0000000}"/>
    <cellStyle name="20 % – Zvýrazn?ní4" xfId="162" xr:uid="{00000000-0005-0000-0000-0000A1000000}"/>
    <cellStyle name="20 % – Zvýrazn?ní5" xfId="163" xr:uid="{00000000-0005-0000-0000-0000A2000000}"/>
    <cellStyle name="20 % – Zvýrazn?ní6" xfId="164" xr:uid="{00000000-0005-0000-0000-0000A3000000}"/>
    <cellStyle name="20 % – Zvýraznění1 2" xfId="165" xr:uid="{00000000-0005-0000-0000-0000A4000000}"/>
    <cellStyle name="20 % – Zvýraznění2 2" xfId="166" xr:uid="{00000000-0005-0000-0000-0000A5000000}"/>
    <cellStyle name="20 % – Zvýraznění3 2" xfId="167" xr:uid="{00000000-0005-0000-0000-0000A6000000}"/>
    <cellStyle name="20 % – Zvýraznění4 2" xfId="168" xr:uid="{00000000-0005-0000-0000-0000A7000000}"/>
    <cellStyle name="20 % – Zvýraznění5 2" xfId="169" xr:uid="{00000000-0005-0000-0000-0000A8000000}"/>
    <cellStyle name="20 % – Zvýraznění6 2" xfId="170" xr:uid="{00000000-0005-0000-0000-0000A9000000}"/>
    <cellStyle name="20 % - zvýraznenie1" xfId="171" xr:uid="{00000000-0005-0000-0000-0000AA000000}"/>
    <cellStyle name="20 % - zvýraznenie2" xfId="172" xr:uid="{00000000-0005-0000-0000-0000AB000000}"/>
    <cellStyle name="20 % - zvýraznenie3" xfId="173" xr:uid="{00000000-0005-0000-0000-0000AC000000}"/>
    <cellStyle name="20 % - zvýraznenie4" xfId="174" xr:uid="{00000000-0005-0000-0000-0000AD000000}"/>
    <cellStyle name="20 % - zvýraznenie5" xfId="175" xr:uid="{00000000-0005-0000-0000-0000AE000000}"/>
    <cellStyle name="20 % - zvýraznenie6" xfId="176" xr:uid="{00000000-0005-0000-0000-0000AF000000}"/>
    <cellStyle name="20% - Accent1" xfId="177" xr:uid="{00000000-0005-0000-0000-0000B0000000}"/>
    <cellStyle name="20% - Accent2" xfId="178" xr:uid="{00000000-0005-0000-0000-0000B1000000}"/>
    <cellStyle name="20% - Accent3" xfId="179" xr:uid="{00000000-0005-0000-0000-0000B2000000}"/>
    <cellStyle name="20% - Accent4" xfId="180" xr:uid="{00000000-0005-0000-0000-0000B3000000}"/>
    <cellStyle name="20% - Accent5" xfId="181" xr:uid="{00000000-0005-0000-0000-0000B4000000}"/>
    <cellStyle name="20% - Accent6" xfId="182" xr:uid="{00000000-0005-0000-0000-0000B5000000}"/>
    <cellStyle name="2mitP" xfId="183" xr:uid="{00000000-0005-0000-0000-0000B6000000}"/>
    <cellStyle name="2ohneP" xfId="184" xr:uid="{00000000-0005-0000-0000-0000B7000000}"/>
    <cellStyle name="3mitP" xfId="185" xr:uid="{00000000-0005-0000-0000-0000B8000000}"/>
    <cellStyle name="3ohneP" xfId="186" xr:uid="{00000000-0005-0000-0000-0000B9000000}"/>
    <cellStyle name="40 % – Zvýrazn?ní1" xfId="187" xr:uid="{00000000-0005-0000-0000-0000BA000000}"/>
    <cellStyle name="40 % – Zvýrazn?ní2" xfId="188" xr:uid="{00000000-0005-0000-0000-0000BB000000}"/>
    <cellStyle name="40 % – Zvýrazn?ní3" xfId="189" xr:uid="{00000000-0005-0000-0000-0000BC000000}"/>
    <cellStyle name="40 % – Zvýrazn?ní4" xfId="190" xr:uid="{00000000-0005-0000-0000-0000BD000000}"/>
    <cellStyle name="40 % – Zvýrazn?ní5" xfId="191" xr:uid="{00000000-0005-0000-0000-0000BE000000}"/>
    <cellStyle name="40 % – Zvýrazn?ní6" xfId="192" xr:uid="{00000000-0005-0000-0000-0000BF000000}"/>
    <cellStyle name="40 % – Zvýraznění1 2" xfId="193" xr:uid="{00000000-0005-0000-0000-0000C0000000}"/>
    <cellStyle name="40 % – Zvýraznění2 2" xfId="194" xr:uid="{00000000-0005-0000-0000-0000C1000000}"/>
    <cellStyle name="40 % – Zvýraznění3 2" xfId="195" xr:uid="{00000000-0005-0000-0000-0000C2000000}"/>
    <cellStyle name="40 % – Zvýraznění4 2" xfId="196" xr:uid="{00000000-0005-0000-0000-0000C3000000}"/>
    <cellStyle name="40 % – Zvýraznění5 2" xfId="197" xr:uid="{00000000-0005-0000-0000-0000C4000000}"/>
    <cellStyle name="40 % – Zvýraznění6 2" xfId="198" xr:uid="{00000000-0005-0000-0000-0000C5000000}"/>
    <cellStyle name="40 % - zvýraznenie1" xfId="199" xr:uid="{00000000-0005-0000-0000-0000C6000000}"/>
    <cellStyle name="40 % - zvýraznenie2" xfId="200" xr:uid="{00000000-0005-0000-0000-0000C7000000}"/>
    <cellStyle name="40 % - zvýraznenie3" xfId="201" xr:uid="{00000000-0005-0000-0000-0000C8000000}"/>
    <cellStyle name="40 % - zvýraznenie4" xfId="202" xr:uid="{00000000-0005-0000-0000-0000C9000000}"/>
    <cellStyle name="40 % - zvýraznenie5" xfId="203" xr:uid="{00000000-0005-0000-0000-0000CA000000}"/>
    <cellStyle name="40 % - zvýraznenie6" xfId="204" xr:uid="{00000000-0005-0000-0000-0000CB000000}"/>
    <cellStyle name="40% - Accent1" xfId="205" xr:uid="{00000000-0005-0000-0000-0000CC000000}"/>
    <cellStyle name="40% - Accent2" xfId="206" xr:uid="{00000000-0005-0000-0000-0000CD000000}"/>
    <cellStyle name="40% - Accent3" xfId="207" xr:uid="{00000000-0005-0000-0000-0000CE000000}"/>
    <cellStyle name="40% - Accent4" xfId="208" xr:uid="{00000000-0005-0000-0000-0000CF000000}"/>
    <cellStyle name="40% - Accent5" xfId="209" xr:uid="{00000000-0005-0000-0000-0000D0000000}"/>
    <cellStyle name="40% - Accent6" xfId="210" xr:uid="{00000000-0005-0000-0000-0000D1000000}"/>
    <cellStyle name="4mitP" xfId="211" xr:uid="{00000000-0005-0000-0000-0000D2000000}"/>
    <cellStyle name="4ohneP" xfId="212" xr:uid="{00000000-0005-0000-0000-0000D3000000}"/>
    <cellStyle name="60 % – Zvýrazn?ní1" xfId="213" xr:uid="{00000000-0005-0000-0000-0000D4000000}"/>
    <cellStyle name="60 % – Zvýrazn?ní2" xfId="214" xr:uid="{00000000-0005-0000-0000-0000D5000000}"/>
    <cellStyle name="60 % – Zvýrazn?ní3" xfId="215" xr:uid="{00000000-0005-0000-0000-0000D6000000}"/>
    <cellStyle name="60 % – Zvýrazn?ní4" xfId="216" xr:uid="{00000000-0005-0000-0000-0000D7000000}"/>
    <cellStyle name="60 % – Zvýrazn?ní5" xfId="217" xr:uid="{00000000-0005-0000-0000-0000D8000000}"/>
    <cellStyle name="60 % – Zvýrazn?ní6" xfId="218" xr:uid="{00000000-0005-0000-0000-0000D9000000}"/>
    <cellStyle name="60 % – Zvýraznění1 2" xfId="219" xr:uid="{00000000-0005-0000-0000-0000DA000000}"/>
    <cellStyle name="60 % – Zvýraznění2 2" xfId="220" xr:uid="{00000000-0005-0000-0000-0000DB000000}"/>
    <cellStyle name="60 % – Zvýraznění3 2" xfId="221" xr:uid="{00000000-0005-0000-0000-0000DC000000}"/>
    <cellStyle name="60 % – Zvýraznění4 2" xfId="222" xr:uid="{00000000-0005-0000-0000-0000DD000000}"/>
    <cellStyle name="60 % – Zvýraznění5 2" xfId="223" xr:uid="{00000000-0005-0000-0000-0000DE000000}"/>
    <cellStyle name="60 % – Zvýraznění6 2" xfId="224" xr:uid="{00000000-0005-0000-0000-0000DF000000}"/>
    <cellStyle name="60 % - zvýraznenie1" xfId="225" xr:uid="{00000000-0005-0000-0000-0000E0000000}"/>
    <cellStyle name="60 % - zvýraznenie2" xfId="226" xr:uid="{00000000-0005-0000-0000-0000E1000000}"/>
    <cellStyle name="60 % - zvýraznenie3" xfId="227" xr:uid="{00000000-0005-0000-0000-0000E2000000}"/>
    <cellStyle name="60 % - zvýraznenie4" xfId="228" xr:uid="{00000000-0005-0000-0000-0000E3000000}"/>
    <cellStyle name="60 % - zvýraznenie5" xfId="229" xr:uid="{00000000-0005-0000-0000-0000E4000000}"/>
    <cellStyle name="60 % - zvýraznenie6" xfId="230" xr:uid="{00000000-0005-0000-0000-0000E5000000}"/>
    <cellStyle name="60% - Accent1" xfId="231" xr:uid="{00000000-0005-0000-0000-0000E6000000}"/>
    <cellStyle name="60% - Accent2" xfId="232" xr:uid="{00000000-0005-0000-0000-0000E7000000}"/>
    <cellStyle name="60% - Accent3" xfId="233" xr:uid="{00000000-0005-0000-0000-0000E8000000}"/>
    <cellStyle name="60% - Accent4" xfId="234" xr:uid="{00000000-0005-0000-0000-0000E9000000}"/>
    <cellStyle name="60% - Accent5" xfId="235" xr:uid="{00000000-0005-0000-0000-0000EA000000}"/>
    <cellStyle name="60% - Accent6" xfId="236" xr:uid="{00000000-0005-0000-0000-0000EB000000}"/>
    <cellStyle name="6mitP" xfId="237" xr:uid="{00000000-0005-0000-0000-0000EC000000}"/>
    <cellStyle name="6ohneP" xfId="238" xr:uid="{00000000-0005-0000-0000-0000ED000000}"/>
    <cellStyle name="7mitP" xfId="239" xr:uid="{00000000-0005-0000-0000-0000EE000000}"/>
    <cellStyle name="9mitP" xfId="240" xr:uid="{00000000-0005-0000-0000-0000EF000000}"/>
    <cellStyle name="9ohneP" xfId="241" xr:uid="{00000000-0005-0000-0000-0000F0000000}"/>
    <cellStyle name="Accent1" xfId="242" xr:uid="{00000000-0005-0000-0000-0000F1000000}"/>
    <cellStyle name="Accent1 2" xfId="243" xr:uid="{00000000-0005-0000-0000-0000F2000000}"/>
    <cellStyle name="Accent2" xfId="244" xr:uid="{00000000-0005-0000-0000-0000F3000000}"/>
    <cellStyle name="Accent2 2" xfId="245" xr:uid="{00000000-0005-0000-0000-0000F4000000}"/>
    <cellStyle name="Accent3" xfId="246" xr:uid="{00000000-0005-0000-0000-0000F5000000}"/>
    <cellStyle name="Accent3 2" xfId="247" xr:uid="{00000000-0005-0000-0000-0000F6000000}"/>
    <cellStyle name="Accent4" xfId="248" xr:uid="{00000000-0005-0000-0000-0000F7000000}"/>
    <cellStyle name="Accent4 2" xfId="249" xr:uid="{00000000-0005-0000-0000-0000F8000000}"/>
    <cellStyle name="Accent5" xfId="250" xr:uid="{00000000-0005-0000-0000-0000F9000000}"/>
    <cellStyle name="Accent5 2" xfId="251" xr:uid="{00000000-0005-0000-0000-0000FA000000}"/>
    <cellStyle name="Accent6" xfId="252" xr:uid="{00000000-0005-0000-0000-0000FB000000}"/>
    <cellStyle name="Accent6 2" xfId="253" xr:uid="{00000000-0005-0000-0000-0000FC000000}"/>
    <cellStyle name="Bad" xfId="254" xr:uid="{00000000-0005-0000-0000-0000FD000000}"/>
    <cellStyle name="Bad 2" xfId="255" xr:uid="{00000000-0005-0000-0000-0000FE000000}"/>
    <cellStyle name="BlankedZeros" xfId="256" xr:uid="{00000000-0005-0000-0000-0000FF000000}"/>
    <cellStyle name="BS total" xfId="257" xr:uid="{00000000-0005-0000-0000-000000010000}"/>
    <cellStyle name="Calculation" xfId="258" xr:uid="{00000000-0005-0000-0000-000001010000}"/>
    <cellStyle name="Čárka" xfId="542" builtinId="3"/>
    <cellStyle name="Čárka 2" xfId="260" xr:uid="{00000000-0005-0000-0000-000002010000}"/>
    <cellStyle name="Celkem 2" xfId="261" xr:uid="{00000000-0005-0000-0000-000003010000}"/>
    <cellStyle name="Celkem 3" xfId="262" xr:uid="{00000000-0005-0000-0000-000004010000}"/>
    <cellStyle name="Check Cell" xfId="263" xr:uid="{00000000-0005-0000-0000-000005010000}"/>
    <cellStyle name="Check Cell 2" xfId="264" xr:uid="{00000000-0005-0000-0000-000006010000}"/>
    <cellStyle name="Chybn?" xfId="265" xr:uid="{00000000-0005-0000-0000-000007010000}"/>
    <cellStyle name="Chybně 2" xfId="266" xr:uid="{00000000-0005-0000-0000-000008010000}"/>
    <cellStyle name="Column_right" xfId="541" xr:uid="{61631BDC-6EF4-492D-A7EA-73F3315FD8A2}"/>
    <cellStyle name="Comma" xfId="259" xr:uid="{00000000-0005-0000-0000-000009010000}"/>
    <cellStyle name="Comma [0]" xfId="267" xr:uid="{00000000-0005-0000-0000-00000A010000}"/>
    <cellStyle name="Comma 0" xfId="268" xr:uid="{00000000-0005-0000-0000-00000B010000}"/>
    <cellStyle name="Comma 0 2" xfId="269" xr:uid="{00000000-0005-0000-0000-00000C010000}"/>
    <cellStyle name="Comma 0*" xfId="270" xr:uid="{00000000-0005-0000-0000-00000D010000}"/>
    <cellStyle name="Comma 0* 2" xfId="271" xr:uid="{00000000-0005-0000-0000-00000E010000}"/>
    <cellStyle name="Comma 2" xfId="272" xr:uid="{00000000-0005-0000-0000-00000F010000}"/>
    <cellStyle name="Comma 2 2" xfId="273" xr:uid="{00000000-0005-0000-0000-000010010000}"/>
    <cellStyle name="Comma_27_07_98" xfId="274" xr:uid="{00000000-0005-0000-0000-000011010000}"/>
    <cellStyle name="Comma0" xfId="275" xr:uid="{00000000-0005-0000-0000-000012010000}"/>
    <cellStyle name="Currency" xfId="276" xr:uid="{00000000-0005-0000-0000-000013010000}"/>
    <cellStyle name="Currency [0]" xfId="277" xr:uid="{00000000-0005-0000-0000-000014010000}"/>
    <cellStyle name="Currency 0" xfId="278" xr:uid="{00000000-0005-0000-0000-000015010000}"/>
    <cellStyle name="Currency 0 2" xfId="279" xr:uid="{00000000-0005-0000-0000-000016010000}"/>
    <cellStyle name="Currency 2" xfId="280" xr:uid="{00000000-0005-0000-0000-000017010000}"/>
    <cellStyle name="Currency 2 2" xfId="281" xr:uid="{00000000-0005-0000-0000-000018010000}"/>
    <cellStyle name="Currency_27_07_98" xfId="282" xr:uid="{00000000-0005-0000-0000-000019010000}"/>
    <cellStyle name="Currency0" xfId="283" xr:uid="{00000000-0005-0000-0000-00001A010000}"/>
    <cellStyle name="Date" xfId="284" xr:uid="{00000000-0005-0000-0000-00001B010000}"/>
    <cellStyle name="Date Aligned" xfId="285" xr:uid="{00000000-0005-0000-0000-00001C010000}"/>
    <cellStyle name="Date Aligned 2" xfId="286" xr:uid="{00000000-0005-0000-0000-00001D010000}"/>
    <cellStyle name="Datum" xfId="287" xr:uid="{00000000-0005-0000-0000-00001E010000}"/>
    <cellStyle name="Datum 2" xfId="288" xr:uid="{00000000-0005-0000-0000-00001F010000}"/>
    <cellStyle name="Dezimal [0]_Detail_Fees" xfId="289" xr:uid="{00000000-0005-0000-0000-000020010000}"/>
    <cellStyle name="Dezimal_Detail_Fees" xfId="290" xr:uid="{00000000-0005-0000-0000-000021010000}"/>
    <cellStyle name="Dobrá" xfId="291" xr:uid="{00000000-0005-0000-0000-000022010000}"/>
    <cellStyle name="Dotted Line" xfId="292" xr:uid="{00000000-0005-0000-0000-000023010000}"/>
    <cellStyle name="Dotted Line 2" xfId="293" xr:uid="{00000000-0005-0000-0000-000024010000}"/>
    <cellStyle name="Dziesiętny [0]_Data" xfId="294" xr:uid="{00000000-0005-0000-0000-000025010000}"/>
    <cellStyle name="Dziesiętny_Data" xfId="295" xr:uid="{00000000-0005-0000-0000-000026010000}"/>
    <cellStyle name="E?rky" xfId="296" xr:uid="{00000000-0005-0000-0000-000027010000}"/>
    <cellStyle name="E?rky [0]" xfId="297" xr:uid="{00000000-0005-0000-0000-000028010000}"/>
    <cellStyle name="E?rky_(RECESE)_FI Kalkulator-NOhike" xfId="298" xr:uid="{00000000-0005-0000-0000-000029010000}"/>
    <cellStyle name="Eárky" xfId="299" xr:uid="{00000000-0005-0000-0000-00002A010000}"/>
    <cellStyle name="Eárky [0]" xfId="300" xr:uid="{00000000-0005-0000-0000-00002B010000}"/>
    <cellStyle name="Eárky_(RECESE)_FI Kalkulator-NOhike" xfId="301" xr:uid="{00000000-0005-0000-0000-00002C010000}"/>
    <cellStyle name="Entries" xfId="302" xr:uid="{00000000-0005-0000-0000-00002D010000}"/>
    <cellStyle name="Euro" xfId="303" xr:uid="{00000000-0005-0000-0000-00002E010000}"/>
    <cellStyle name="Euro 2" xfId="304" xr:uid="{00000000-0005-0000-0000-00002F010000}"/>
    <cellStyle name="Explanatory Text" xfId="305" xr:uid="{00000000-0005-0000-0000-000030010000}"/>
    <cellStyle name="Ezres [0]_fee" xfId="306" xr:uid="{00000000-0005-0000-0000-000031010000}"/>
    <cellStyle name="Ezres_fee" xfId="307" xr:uid="{00000000-0005-0000-0000-000032010000}"/>
    <cellStyle name="Finanční0" xfId="308" xr:uid="{00000000-0005-0000-0000-000033010000}"/>
    <cellStyle name="Finanční0 2" xfId="309" xr:uid="{00000000-0005-0000-0000-000034010000}"/>
    <cellStyle name="Finanèní" xfId="310" xr:uid="{00000000-0005-0000-0000-000035010000}"/>
    <cellStyle name="Finanèní0" xfId="311" xr:uid="{00000000-0005-0000-0000-000036010000}"/>
    <cellStyle name="Fixed" xfId="312" xr:uid="{00000000-0005-0000-0000-000037010000}"/>
    <cellStyle name="Followed Hyperlink" xfId="313" xr:uid="{00000000-0005-0000-0000-000038010000}"/>
    <cellStyle name="Footnote" xfId="314" xr:uid="{00000000-0005-0000-0000-000039010000}"/>
    <cellStyle name="Footnote 2" xfId="315" xr:uid="{00000000-0005-0000-0000-00003A010000}"/>
    <cellStyle name="Fuss" xfId="316" xr:uid="{00000000-0005-0000-0000-00003B010000}"/>
    <cellStyle name="Fuss 2" xfId="317" xr:uid="{00000000-0005-0000-0000-00003C010000}"/>
    <cellStyle name="Good" xfId="318" xr:uid="{00000000-0005-0000-0000-00003D010000}"/>
    <cellStyle name="Good 2" xfId="319" xr:uid="{00000000-0005-0000-0000-00003E010000}"/>
    <cellStyle name="Grey" xfId="320" xr:uid="{00000000-0005-0000-0000-00003F010000}"/>
    <cellStyle name="GreybarHeader" xfId="321" xr:uid="{00000000-0005-0000-0000-000040010000}"/>
    <cellStyle name="groß" xfId="322" xr:uid="{00000000-0005-0000-0000-000041010000}"/>
    <cellStyle name="Hard Percent" xfId="323" xr:uid="{00000000-0005-0000-0000-000042010000}"/>
    <cellStyle name="Hard Percent 2" xfId="324" xr:uid="{00000000-0005-0000-0000-000043010000}"/>
    <cellStyle name="Header" xfId="325" xr:uid="{00000000-0005-0000-0000-000044010000}"/>
    <cellStyle name="Header 2" xfId="326" xr:uid="{00000000-0005-0000-0000-000045010000}"/>
    <cellStyle name="Header1" xfId="327" xr:uid="{00000000-0005-0000-0000-000046010000}"/>
    <cellStyle name="Header2" xfId="328" xr:uid="{00000000-0005-0000-0000-000047010000}"/>
    <cellStyle name="Heading" xfId="329" xr:uid="{00000000-0005-0000-0000-000048010000}"/>
    <cellStyle name="Heading 1" xfId="330" xr:uid="{00000000-0005-0000-0000-000049010000}"/>
    <cellStyle name="Heading 1 2" xfId="331" xr:uid="{00000000-0005-0000-0000-00004A010000}"/>
    <cellStyle name="Heading 2" xfId="332" xr:uid="{00000000-0005-0000-0000-00004B010000}"/>
    <cellStyle name="Heading 2 2" xfId="333" xr:uid="{00000000-0005-0000-0000-00004C010000}"/>
    <cellStyle name="Heading 2 3" xfId="334" xr:uid="{00000000-0005-0000-0000-00004D010000}"/>
    <cellStyle name="Heading 3" xfId="335" xr:uid="{00000000-0005-0000-0000-00004E010000}"/>
    <cellStyle name="Heading 3 2" xfId="336" xr:uid="{00000000-0005-0000-0000-00004F010000}"/>
    <cellStyle name="Heading 3 3" xfId="337" xr:uid="{00000000-0005-0000-0000-000050010000}"/>
    <cellStyle name="Heading 4" xfId="338" xr:uid="{00000000-0005-0000-0000-000051010000}"/>
    <cellStyle name="Heading 4 2" xfId="339" xr:uid="{00000000-0005-0000-0000-000052010000}"/>
    <cellStyle name="Historical" xfId="340" xr:uid="{00000000-0005-0000-0000-000053010000}"/>
    <cellStyle name="Historical%" xfId="341" xr:uid="{00000000-0005-0000-0000-000054010000}"/>
    <cellStyle name="Hyperlink" xfId="342" xr:uid="{00000000-0005-0000-0000-000055010000}"/>
    <cellStyle name="Hypertextový odkaz" xfId="540" builtinId="8"/>
    <cellStyle name="Hypertextový odkaz 2" xfId="343" xr:uid="{00000000-0005-0000-0000-000057010000}"/>
    <cellStyle name="Input" xfId="344" xr:uid="{00000000-0005-0000-0000-000058010000}"/>
    <cellStyle name="Input [yellow]" xfId="345" xr:uid="{00000000-0005-0000-0000-000059010000}"/>
    <cellStyle name="Input%" xfId="346" xr:uid="{00000000-0005-0000-0000-00005A010000}"/>
    <cellStyle name="Input_$cell" xfId="347" xr:uid="{00000000-0005-0000-0000-00005B010000}"/>
    <cellStyle name="ItalicHeader" xfId="348" xr:uid="{00000000-0005-0000-0000-00005C010000}"/>
    <cellStyle name="Kontrolná bunka" xfId="349" xr:uid="{00000000-0005-0000-0000-00005D010000}"/>
    <cellStyle name="Kontrolní bu?ka" xfId="350" xr:uid="{00000000-0005-0000-0000-00005E010000}"/>
    <cellStyle name="Kontrolní buňka 2" xfId="351" xr:uid="{00000000-0005-0000-0000-00005F010000}"/>
    <cellStyle name="Linked Cell" xfId="352" xr:uid="{00000000-0005-0000-0000-000060010000}"/>
    <cellStyle name="Linked Cell 2" xfId="353" xr:uid="{00000000-0005-0000-0000-000061010000}"/>
    <cellStyle name="MAND_x000d_CHECK.COMMAND_x000e_RENAME.COMMAND_x0008_SHOW.BAR_x000b_DELETE.MENU_x000e_DELETE.COMMAND_x000e_GET.CHA" xfId="354" xr:uid="{00000000-0005-0000-0000-000062010000}"/>
    <cellStyle name="MAND_x000d_CHECK.COMMAND_x000e_RENAME.COMMAND_x0008_SHOW.BAR_x000b_DELETE.MENU_x000e_DELETE.COMMAND_x000e_GET.CHA 2" xfId="355" xr:uid="{00000000-0005-0000-0000-000063010000}"/>
    <cellStyle name="MAND_x000d_CHECK.COMMAND_x000e_RENAME.COMMAND_x0008_SHOW.BAR_x000b_DELETE.MENU_x000e_DELETE.COMMAND_x000e_GET.CHA 3" xfId="356" xr:uid="{00000000-0005-0000-0000-000064010000}"/>
    <cellStyle name="MAND_x000d_CHECK.COMMAND_x000e_RENAME.COMMAND_x0008_SHOW.BAR_x000b_DELETE.MENU_x000e_DELETE.COMMAND_x000e_GET.CHA 4" xfId="357" xr:uid="{00000000-0005-0000-0000-000065010000}"/>
    <cellStyle name="MAND_x000d_CHECK.COMMAND_x000e_RENAME.COMMAND_x0008_SHOW.BAR_x000b_DELETE.MENU_x000e_DELETE.COMMAND_x000e_GET.CHA 5" xfId="358" xr:uid="{00000000-0005-0000-0000-000066010000}"/>
    <cellStyle name="MAND_x000d_CHECK.COMMAND_x000e_RENAME.COMMAND_x0008_SHOW.BAR_x000b_DELETE.MENU_x000e_DELETE.COMMAND_x000e_GET.CHA_FI Kalkulator-NOhike_Pavlik" xfId="359" xr:uid="{00000000-0005-0000-0000-000067010000}"/>
    <cellStyle name="Měna0" xfId="360" xr:uid="{00000000-0005-0000-0000-000068010000}"/>
    <cellStyle name="Měna0 2" xfId="361" xr:uid="{00000000-0005-0000-0000-000069010000}"/>
    <cellStyle name="Mìna" xfId="362" xr:uid="{00000000-0005-0000-0000-00006A010000}"/>
    <cellStyle name="Mìna0" xfId="363" xr:uid="{00000000-0005-0000-0000-00006B010000}"/>
    <cellStyle name="Miny" xfId="364" xr:uid="{00000000-0005-0000-0000-00006C010000}"/>
    <cellStyle name="mitP" xfId="365" xr:uid="{00000000-0005-0000-0000-00006D010000}"/>
    <cellStyle name="Multiple" xfId="366" xr:uid="{00000000-0005-0000-0000-00006E010000}"/>
    <cellStyle name="Multiple 2" xfId="367" xr:uid="{00000000-0005-0000-0000-00006F010000}"/>
    <cellStyle name="MUSTER" xfId="368" xr:uid="{00000000-0005-0000-0000-000070010000}"/>
    <cellStyle name="Nadpis 1 2" xfId="369" xr:uid="{00000000-0005-0000-0000-000071010000}"/>
    <cellStyle name="Nadpis 2 2" xfId="370" xr:uid="{00000000-0005-0000-0000-000072010000}"/>
    <cellStyle name="Nadpis 3 2" xfId="371" xr:uid="{00000000-0005-0000-0000-000073010000}"/>
    <cellStyle name="Nadpis 4 2" xfId="372" xr:uid="{00000000-0005-0000-0000-000074010000}"/>
    <cellStyle name="Název 2" xfId="373" xr:uid="{00000000-0005-0000-0000-000075010000}"/>
    <cellStyle name="Neutral" xfId="374" xr:uid="{00000000-0005-0000-0000-000076010000}"/>
    <cellStyle name="Neutrálna" xfId="375" xr:uid="{00000000-0005-0000-0000-000077010000}"/>
    <cellStyle name="Neutrální 2" xfId="376" xr:uid="{00000000-0005-0000-0000-000078010000}"/>
    <cellStyle name="Norm?ln?" xfId="377" xr:uid="{00000000-0005-0000-0000-000079010000}"/>
    <cellStyle name="Normal - Style1" xfId="378" xr:uid="{00000000-0005-0000-0000-00007A010000}"/>
    <cellStyle name="Normal 18" xfId="379" xr:uid="{00000000-0005-0000-0000-00007B010000}"/>
    <cellStyle name="Normal 2" xfId="380" xr:uid="{00000000-0005-0000-0000-00007C010000}"/>
    <cellStyle name="Normál_1C" xfId="381" xr:uid="{00000000-0005-0000-0000-00007D010000}"/>
    <cellStyle name="NormalGB" xfId="382" xr:uid="{00000000-0005-0000-0000-00007E010000}"/>
    <cellStyle name="NormalGB 2" xfId="383" xr:uid="{00000000-0005-0000-0000-00007F010000}"/>
    <cellStyle name="normálne_01 - GAP_GDP" xfId="384" xr:uid="{00000000-0005-0000-0000-000080010000}"/>
    <cellStyle name="Normální" xfId="0" builtinId="0"/>
    <cellStyle name="Normální 10" xfId="385" xr:uid="{00000000-0005-0000-0000-000082010000}"/>
    <cellStyle name="Normální 2" xfId="386" xr:uid="{00000000-0005-0000-0000-000083010000}"/>
    <cellStyle name="Normální 2 2" xfId="387" xr:uid="{00000000-0005-0000-0000-000084010000}"/>
    <cellStyle name="Normální 3" xfId="388" xr:uid="{00000000-0005-0000-0000-000085010000}"/>
    <cellStyle name="Normální 4" xfId="389" xr:uid="{00000000-0005-0000-0000-000086010000}"/>
    <cellStyle name="Normální 5" xfId="390" xr:uid="{00000000-0005-0000-0000-000087010000}"/>
    <cellStyle name="Normální 6" xfId="391" xr:uid="{00000000-0005-0000-0000-000088010000}"/>
    <cellStyle name="Normální 7" xfId="392" xr:uid="{00000000-0005-0000-0000-000089010000}"/>
    <cellStyle name="Normální 8" xfId="393" xr:uid="{00000000-0005-0000-0000-00008A010000}"/>
    <cellStyle name="Normální 9" xfId="394" xr:uid="{00000000-0005-0000-0000-00008B010000}"/>
    <cellStyle name="normální_br_kons 6 2000ang" xfId="395" xr:uid="{00000000-0005-0000-0000-00008C010000}"/>
    <cellStyle name="normální_Makro YE2007 (2) 2" xfId="396" xr:uid="{00000000-0005-0000-0000-00008D010000}"/>
    <cellStyle name="Normalny_Data" xfId="397" xr:uid="{00000000-0005-0000-0000-00008E010000}"/>
    <cellStyle name="Note" xfId="398" xr:uid="{00000000-0005-0000-0000-00008F010000}"/>
    <cellStyle name="Note 2" xfId="399" xr:uid="{00000000-0005-0000-0000-000090010000}"/>
    <cellStyle name="Notiz 2" xfId="400" xr:uid="{00000000-0005-0000-0000-000091010000}"/>
    <cellStyle name="null" xfId="401" xr:uid="{00000000-0005-0000-0000-000092010000}"/>
    <cellStyle name="ohneP" xfId="402" xr:uid="{00000000-0005-0000-0000-000093010000}"/>
    <cellStyle name="Output" xfId="403" xr:uid="{00000000-0005-0000-0000-000094010000}"/>
    <cellStyle name="Page Number" xfId="404" xr:uid="{00000000-0005-0000-0000-000095010000}"/>
    <cellStyle name="Pénznem [0]_fee" xfId="405" xr:uid="{00000000-0005-0000-0000-000096010000}"/>
    <cellStyle name="Pénznem_fee" xfId="406" xr:uid="{00000000-0005-0000-0000-000097010000}"/>
    <cellStyle name="Percent" xfId="415" xr:uid="{00000000-0005-0000-0000-000098010000}"/>
    <cellStyle name="Percent (0)" xfId="407" xr:uid="{00000000-0005-0000-0000-000099010000}"/>
    <cellStyle name="Percent [2]" xfId="408" xr:uid="{00000000-0005-0000-0000-00009A010000}"/>
    <cellStyle name="Percent_SumJan" xfId="409" xr:uid="{00000000-0005-0000-0000-00009B010000}"/>
    <cellStyle name="Pevný" xfId="410" xr:uid="{00000000-0005-0000-0000-00009C010000}"/>
    <cellStyle name="Pevný 2" xfId="411" xr:uid="{00000000-0005-0000-0000-00009D010000}"/>
    <cellStyle name="Pevný 3" xfId="412" xr:uid="{00000000-0005-0000-0000-00009E010000}"/>
    <cellStyle name="Poznámka 2" xfId="413" xr:uid="{00000000-0005-0000-0000-00009F010000}"/>
    <cellStyle name="Prepojená bunka" xfId="414" xr:uid="{00000000-0005-0000-0000-0000A0010000}"/>
    <cellStyle name="Procenta" xfId="539" builtinId="5"/>
    <cellStyle name="Procenta 2" xfId="416" xr:uid="{00000000-0005-0000-0000-0000A2010000}"/>
    <cellStyle name="Propojená bu?ka" xfId="417" xr:uid="{00000000-0005-0000-0000-0000A3010000}"/>
    <cellStyle name="Propojená buňka 2" xfId="418" xr:uid="{00000000-0005-0000-0000-0000A4010000}"/>
    <cellStyle name="results" xfId="419" xr:uid="{00000000-0005-0000-0000-0000A5010000}"/>
    <cellStyle name="Row subtotal" xfId="420" xr:uid="{00000000-0005-0000-0000-0000A6010000}"/>
    <cellStyle name="Rows" xfId="421" xr:uid="{00000000-0005-0000-0000-0000A7010000}"/>
    <cellStyle name="Salomon Logo" xfId="422" xr:uid="{00000000-0005-0000-0000-0000A8010000}"/>
    <cellStyle name="Salomon Logo 2" xfId="423" xr:uid="{00000000-0005-0000-0000-0000A9010000}"/>
    <cellStyle name="SAPError" xfId="424" xr:uid="{00000000-0005-0000-0000-0000AA010000}"/>
    <cellStyle name="SAPKey" xfId="425" xr:uid="{00000000-0005-0000-0000-0000AB010000}"/>
    <cellStyle name="SAPLocked" xfId="426" xr:uid="{00000000-0005-0000-0000-0000AC010000}"/>
    <cellStyle name="SAPOutput" xfId="427" xr:uid="{00000000-0005-0000-0000-0000AD010000}"/>
    <cellStyle name="SAPSpace" xfId="428" xr:uid="{00000000-0005-0000-0000-0000AE010000}"/>
    <cellStyle name="SAPText" xfId="429" xr:uid="{00000000-0005-0000-0000-0000AF010000}"/>
    <cellStyle name="SAPUnLocked" xfId="430" xr:uid="{00000000-0005-0000-0000-0000B0010000}"/>
    <cellStyle name="sehr_groß_f" xfId="431" xr:uid="{00000000-0005-0000-0000-0000B1010000}"/>
    <cellStyle name="Sledovaný hypertextový odkaz" xfId="432" xr:uid="{00000000-0005-0000-0000-0000B2010000}"/>
    <cellStyle name="Sledovaný hypertextový odkaz 2" xfId="433" xr:uid="{00000000-0005-0000-0000-0000B3010000}"/>
    <cellStyle name="Spolu" xfId="434" xr:uid="{00000000-0005-0000-0000-0000B4010000}"/>
    <cellStyle name="Správn?" xfId="435" xr:uid="{00000000-0005-0000-0000-0000B5010000}"/>
    <cellStyle name="Správně 2" xfId="436" xr:uid="{00000000-0005-0000-0000-0000B6010000}"/>
    <cellStyle name="Standard 2" xfId="437" xr:uid="{00000000-0005-0000-0000-0000B7010000}"/>
    <cellStyle name="Standard 2 2" xfId="438" xr:uid="{00000000-0005-0000-0000-0000B8010000}"/>
    <cellStyle name="Standard 2 2 2" xfId="439" xr:uid="{00000000-0005-0000-0000-0000B9010000}"/>
    <cellStyle name="Standard 2 2_RD - BS" xfId="440" xr:uid="{00000000-0005-0000-0000-0000BA010000}"/>
    <cellStyle name="Standard 2 3" xfId="441" xr:uid="{00000000-0005-0000-0000-0000BB010000}"/>
    <cellStyle name="Standard 3" xfId="442" xr:uid="{00000000-0005-0000-0000-0000BC010000}"/>
    <cellStyle name="Standard 4" xfId="443" xr:uid="{00000000-0005-0000-0000-0000BD010000}"/>
    <cellStyle name="Standard 5" xfId="444" xr:uid="{00000000-0005-0000-0000-0000BE010000}"/>
    <cellStyle name="Standard_051031 - Q3 05 Presentation Tables" xfId="445" xr:uid="{00000000-0005-0000-0000-0000BF010000}"/>
    <cellStyle name="StandardZahl" xfId="446" xr:uid="{00000000-0005-0000-0000-0000C0010000}"/>
    <cellStyle name="StandardZahl 2" xfId="447" xr:uid="{00000000-0005-0000-0000-0000C1010000}"/>
    <cellStyle name="Stil 1" xfId="448" xr:uid="{00000000-0005-0000-0000-0000C2010000}"/>
    <cellStyle name="Stufe1" xfId="449" xr:uid="{00000000-0005-0000-0000-0000C3010000}"/>
    <cellStyle name="Stufe2" xfId="450" xr:uid="{00000000-0005-0000-0000-0000C4010000}"/>
    <cellStyle name="Stufe3" xfId="451" xr:uid="{00000000-0005-0000-0000-0000C5010000}"/>
    <cellStyle name="Styl 1" xfId="452" xr:uid="{00000000-0005-0000-0000-0000C6010000}"/>
    <cellStyle name="Štýl 1" xfId="453" xr:uid="{00000000-0005-0000-0000-0000C7010000}"/>
    <cellStyle name="Styl 1 2" xfId="454" xr:uid="{00000000-0005-0000-0000-0000C8010000}"/>
    <cellStyle name="Styl 1 3" xfId="455" xr:uid="{00000000-0005-0000-0000-0000C9010000}"/>
    <cellStyle name="Style 1" xfId="456" xr:uid="{00000000-0005-0000-0000-0000CA010000}"/>
    <cellStyle name="Style 1 2" xfId="457" xr:uid="{00000000-0005-0000-0000-0000CB010000}"/>
    <cellStyle name="Subtitle" xfId="458" xr:uid="{00000000-0005-0000-0000-0000CC010000}"/>
    <cellStyle name="SubtotalColumn" xfId="459" xr:uid="{00000000-0005-0000-0000-0000CD010000}"/>
    <cellStyle name="svetly_s" xfId="460" xr:uid="{00000000-0005-0000-0000-0000CE010000}"/>
    <cellStyle name="Tabelle 3" xfId="461" xr:uid="{00000000-0005-0000-0000-0000CF010000}"/>
    <cellStyle name="Table Head" xfId="462" xr:uid="{00000000-0005-0000-0000-0000D0010000}"/>
    <cellStyle name="Table Head 2" xfId="463" xr:uid="{00000000-0005-0000-0000-0000D1010000}"/>
    <cellStyle name="Table Head Aligned" xfId="464" xr:uid="{00000000-0005-0000-0000-0000D2010000}"/>
    <cellStyle name="Table Head Aligned 2" xfId="465" xr:uid="{00000000-0005-0000-0000-0000D3010000}"/>
    <cellStyle name="Table Head Blue" xfId="466" xr:uid="{00000000-0005-0000-0000-0000D4010000}"/>
    <cellStyle name="Table Head Blue 2" xfId="467" xr:uid="{00000000-0005-0000-0000-0000D5010000}"/>
    <cellStyle name="Table Head Green" xfId="468" xr:uid="{00000000-0005-0000-0000-0000D6010000}"/>
    <cellStyle name="Table Head Green 2" xfId="469" xr:uid="{00000000-0005-0000-0000-0000D7010000}"/>
    <cellStyle name="Table Head_Val_Sum_Graph" xfId="470" xr:uid="{00000000-0005-0000-0000-0000D8010000}"/>
    <cellStyle name="Table Text" xfId="471" xr:uid="{00000000-0005-0000-0000-0000D9010000}"/>
    <cellStyle name="Table Text 2" xfId="472" xr:uid="{00000000-0005-0000-0000-0000DA010000}"/>
    <cellStyle name="Table Title" xfId="473" xr:uid="{00000000-0005-0000-0000-0000DB010000}"/>
    <cellStyle name="Table Title 2" xfId="474" xr:uid="{00000000-0005-0000-0000-0000DC010000}"/>
    <cellStyle name="Table Units" xfId="475" xr:uid="{00000000-0005-0000-0000-0000DD010000}"/>
    <cellStyle name="Table Units 2" xfId="476" xr:uid="{00000000-0005-0000-0000-0000DE010000}"/>
    <cellStyle name="Table_Header" xfId="477" xr:uid="{00000000-0005-0000-0000-0000DF010000}"/>
    <cellStyle name="Text 1" xfId="478" xr:uid="{00000000-0005-0000-0000-0000E0010000}"/>
    <cellStyle name="Text 1 2" xfId="479" xr:uid="{00000000-0005-0000-0000-0000E1010000}"/>
    <cellStyle name="Text Head 1" xfId="480" xr:uid="{00000000-0005-0000-0000-0000E2010000}"/>
    <cellStyle name="Text Head 1 2" xfId="481" xr:uid="{00000000-0005-0000-0000-0000E3010000}"/>
    <cellStyle name="Text upozorn?ní" xfId="482" xr:uid="{00000000-0005-0000-0000-0000E4010000}"/>
    <cellStyle name="Text upozornění 2" xfId="483" xr:uid="{00000000-0005-0000-0000-0000E5010000}"/>
    <cellStyle name="Text upozornenia" xfId="484" xr:uid="{00000000-0005-0000-0000-0000E6010000}"/>
    <cellStyle name="Tickmark" xfId="485" xr:uid="{00000000-0005-0000-0000-0000E7010000}"/>
    <cellStyle name="Title" xfId="486" xr:uid="{00000000-0005-0000-0000-0000E8010000}"/>
    <cellStyle name="Title 2" xfId="487" xr:uid="{00000000-0005-0000-0000-0000E9010000}"/>
    <cellStyle name="Titul" xfId="488" xr:uid="{00000000-0005-0000-0000-0000EA010000}"/>
    <cellStyle name="tmavy_s" xfId="489" xr:uid="{00000000-0005-0000-0000-0000EB010000}"/>
    <cellStyle name="Total" xfId="490" xr:uid="{00000000-0005-0000-0000-0000EC010000}"/>
    <cellStyle name="Total 2" xfId="491" xr:uid="{00000000-0005-0000-0000-0000ED010000}"/>
    <cellStyle name="Tusental (0)_Blad1" xfId="492" xr:uid="{00000000-0005-0000-0000-0000EE010000}"/>
    <cellStyle name="Tusental_Blad1" xfId="493" xr:uid="{00000000-0005-0000-0000-0000EF010000}"/>
    <cellStyle name="Underline_Single" xfId="494" xr:uid="{00000000-0005-0000-0000-0000F0010000}"/>
    <cellStyle name="Valuta (0)_Blad1" xfId="495" xr:uid="{00000000-0005-0000-0000-0000F1010000}"/>
    <cellStyle name="Valuta_Blad1" xfId="496" xr:uid="{00000000-0005-0000-0000-0000F2010000}"/>
    <cellStyle name="Vstup 2" xfId="497" xr:uid="{00000000-0005-0000-0000-0000F3010000}"/>
    <cellStyle name="Výpočet 2" xfId="498" xr:uid="{00000000-0005-0000-0000-0000F4010000}"/>
    <cellStyle name="Výstup 2" xfId="499" xr:uid="{00000000-0005-0000-0000-0000F5010000}"/>
    <cellStyle name="Vysv?tlující text" xfId="500" xr:uid="{00000000-0005-0000-0000-0000F6010000}"/>
    <cellStyle name="Vysvětlující text 2" xfId="501" xr:uid="{00000000-0005-0000-0000-0000F7010000}"/>
    <cellStyle name="Vysvetľujúci text" xfId="502" xr:uid="{00000000-0005-0000-0000-0000F8010000}"/>
    <cellStyle name="vzorce" xfId="503" xr:uid="{00000000-0005-0000-0000-0000F9010000}"/>
    <cellStyle name="Währung [0]_AFA_Planung" xfId="504" xr:uid="{00000000-0005-0000-0000-0000FA010000}"/>
    <cellStyle name="Währung_AFA_Planung" xfId="505" xr:uid="{00000000-0005-0000-0000-0000FB010000}"/>
    <cellStyle name="Walutowy [0]_Data" xfId="506" xr:uid="{00000000-0005-0000-0000-0000FC010000}"/>
    <cellStyle name="Walutowy_Data" xfId="507" xr:uid="{00000000-0005-0000-0000-0000FD010000}"/>
    <cellStyle name="Warning Text" xfId="508" xr:uid="{00000000-0005-0000-0000-0000FE010000}"/>
    <cellStyle name="xxprozent" xfId="509" xr:uid="{00000000-0005-0000-0000-0000FF010000}"/>
    <cellStyle name="xxxxxxxxxxxxxxx" xfId="510" xr:uid="{00000000-0005-0000-0000-000000020000}"/>
    <cellStyle name="Y2K Compliant Date Fmt" xfId="511" xr:uid="{00000000-0005-0000-0000-000001020000}"/>
    <cellStyle name="year" xfId="512" xr:uid="{00000000-0005-0000-0000-000002020000}"/>
    <cellStyle name="year 2" xfId="513" xr:uid="{00000000-0005-0000-0000-000003020000}"/>
    <cellStyle name="Záhlaví 1" xfId="514" xr:uid="{00000000-0005-0000-0000-000004020000}"/>
    <cellStyle name="Záhlaví 1 2" xfId="515" xr:uid="{00000000-0005-0000-0000-000005020000}"/>
    <cellStyle name="Záhlaví 2" xfId="516" xr:uid="{00000000-0005-0000-0000-000006020000}"/>
    <cellStyle name="Záhlaví 2 2" xfId="517" xr:uid="{00000000-0005-0000-0000-000007020000}"/>
    <cellStyle name="Zlá" xfId="518" xr:uid="{00000000-0005-0000-0000-000008020000}"/>
    <cellStyle name="Zvýrazn?ní 1" xfId="519" xr:uid="{00000000-0005-0000-0000-000009020000}"/>
    <cellStyle name="Zvýrazn?ní 2" xfId="520" xr:uid="{00000000-0005-0000-0000-00000A020000}"/>
    <cellStyle name="Zvýrazn?ní 3" xfId="521" xr:uid="{00000000-0005-0000-0000-00000B020000}"/>
    <cellStyle name="Zvýrazn?ní 4" xfId="522" xr:uid="{00000000-0005-0000-0000-00000C020000}"/>
    <cellStyle name="Zvýrazn?ní 5" xfId="523" xr:uid="{00000000-0005-0000-0000-00000D020000}"/>
    <cellStyle name="Zvýrazn?ní 6" xfId="524" xr:uid="{00000000-0005-0000-0000-00000E020000}"/>
    <cellStyle name="Zvýraznění 1 2" xfId="525" xr:uid="{00000000-0005-0000-0000-00000F020000}"/>
    <cellStyle name="Zvýraznění 2 2" xfId="526" xr:uid="{00000000-0005-0000-0000-000010020000}"/>
    <cellStyle name="Zvýraznění 3 2" xfId="527" xr:uid="{00000000-0005-0000-0000-000011020000}"/>
    <cellStyle name="Zvýraznění 4 2" xfId="528" xr:uid="{00000000-0005-0000-0000-000012020000}"/>
    <cellStyle name="Zvýraznění 5 2" xfId="529" xr:uid="{00000000-0005-0000-0000-000013020000}"/>
    <cellStyle name="Zvýraznění 6 2" xfId="530" xr:uid="{00000000-0005-0000-0000-000014020000}"/>
    <cellStyle name="Zvýraznenie1" xfId="531" xr:uid="{00000000-0005-0000-0000-000015020000}"/>
    <cellStyle name="Zvýraznenie2" xfId="532" xr:uid="{00000000-0005-0000-0000-000016020000}"/>
    <cellStyle name="Zvýraznenie3" xfId="533" xr:uid="{00000000-0005-0000-0000-000017020000}"/>
    <cellStyle name="Zvýraznenie4" xfId="534" xr:uid="{00000000-0005-0000-0000-000018020000}"/>
    <cellStyle name="Zvýraznenie5" xfId="535" xr:uid="{00000000-0005-0000-0000-000019020000}"/>
    <cellStyle name="Zvýraznenie6" xfId="536" xr:uid="{00000000-0005-0000-0000-00001A020000}"/>
    <cellStyle name="Zwischensumme" xfId="537" xr:uid="{00000000-0005-0000-0000-00001B020000}"/>
    <cellStyle name="Обычный_fin1" xfId="538" xr:uid="{00000000-0005-0000-0000-00001C020000}"/>
  </cellStyles>
  <dxfs count="0"/>
  <tableStyles count="0" defaultTableStyle="TableStyleMedium2" defaultPivotStyle="PivotStyleLight16"/>
  <colors>
    <mruColors>
      <color rgb="FF2870ED"/>
      <color rgb="FF7591AB"/>
      <color rgb="FF245375"/>
      <color rgb="FFECEEF1"/>
      <color rgb="FFD6DCE2"/>
      <color rgb="FF6DA7F5"/>
      <color rgb="FFB6D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r>
              <a:rPr lang="cs-CZ" sz="1200" b="1" i="0" u="none" strike="noStrike" baseline="0">
                <a:solidFill>
                  <a:sysClr val="windowText" lastClr="000000"/>
                </a:solidFill>
                <a:latin typeface="Arial"/>
                <a:cs typeface="Arial"/>
              </a:rPr>
              <a:t>Shareholder structure</a:t>
            </a:r>
            <a:endParaRPr lang="cs-CZ" sz="1200" b="0" i="0" u="none" strike="noStrike" baseline="0">
              <a:solidFill>
                <a:sysClr val="windowText" lastClr="000000"/>
              </a:solidFill>
              <a:latin typeface="Arial"/>
              <a:cs typeface="Arial"/>
            </a:endParaRPr>
          </a:p>
          <a:p>
            <a:pPr>
              <a:defRPr sz="11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r>
              <a:rPr lang="cs-CZ" sz="1200" b="0" i="0" u="none" strike="noStrike" baseline="0">
                <a:solidFill>
                  <a:sysClr val="windowText" lastClr="000000"/>
                </a:solidFill>
                <a:latin typeface="Arial"/>
                <a:cs typeface="Arial"/>
              </a:rPr>
              <a:t>from 6</a:t>
            </a:r>
            <a:r>
              <a:rPr lang="cs-CZ" sz="1200" b="0" i="0" u="none" strike="noStrike" baseline="30000">
                <a:solidFill>
                  <a:sysClr val="windowText" lastClr="000000"/>
                </a:solidFill>
                <a:latin typeface="Arial"/>
                <a:cs typeface="Arial"/>
              </a:rPr>
              <a:t>th</a:t>
            </a:r>
            <a:r>
              <a:rPr lang="cs-CZ" sz="1200" b="0" i="0" u="none" strike="noStrike" baseline="0">
                <a:solidFill>
                  <a:sysClr val="windowText" lastClr="000000"/>
                </a:solidFill>
                <a:latin typeface="Arial"/>
                <a:cs typeface="Arial"/>
              </a:rPr>
              <a:t> November, 2018</a:t>
            </a:r>
          </a:p>
        </c:rich>
      </c:tx>
      <c:layout>
        <c:manualLayout>
          <c:xMode val="edge"/>
          <c:yMode val="edge"/>
          <c:x val="0.2913535808023997"/>
          <c:y val="9.489051094890510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1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984979830845269"/>
          <c:y val="0.36131451249307228"/>
          <c:w val="0.50375986085807245"/>
          <c:h val="0.3905116448157448"/>
        </c:manualLayout>
      </c:layout>
      <c:pie3DChart>
        <c:varyColors val="1"/>
        <c:ser>
          <c:idx val="0"/>
          <c:order val="0"/>
          <c:spPr>
            <a:solidFill>
              <a:srgbClr val="2870ED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2870E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8C3-4C64-A252-BB86C5493C6C}"/>
              </c:ext>
            </c:extLst>
          </c:dPt>
          <c:dPt>
            <c:idx val="1"/>
            <c:bubble3D val="0"/>
            <c:spPr>
              <a:solidFill>
                <a:srgbClr val="2870E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8C3-4C64-A252-BB86C5493C6C}"/>
              </c:ext>
            </c:extLst>
          </c:dPt>
          <c:dPt>
            <c:idx val="2"/>
            <c:bubble3D val="0"/>
            <c:spPr>
              <a:solidFill>
                <a:srgbClr val="2870E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8C3-4C64-A252-BB86C5493C6C}"/>
              </c:ext>
            </c:extLst>
          </c:dPt>
          <c:dLbls>
            <c:dLbl>
              <c:idx val="0"/>
              <c:layout>
                <c:manualLayout>
                  <c:x val="0.5766412183267966"/>
                  <c:y val="-3.8929440389294447E-2"/>
                </c:manualLayout>
              </c:layout>
              <c:tx>
                <c:rich>
                  <a:bodyPr/>
                  <a:lstStyle/>
                  <a:p>
                    <a:pPr>
                      <a:defRPr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cs typeface="Arial"/>
                      </a:rPr>
                      <a:t>EGB AG</a:t>
                    </a:r>
                  </a:p>
                  <a:p>
                    <a:pPr>
                      <a:defRPr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cs typeface="Arial"/>
                      </a:rPr>
                      <a:t>100.00%</a:t>
                    </a:r>
                  </a:p>
                </c:rich>
              </c:tx>
              <c:numFmt formatCode="0.00%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8C3-4C64-A252-BB86C5493C6C}"/>
                </c:ext>
              </c:extLst>
            </c:dLbl>
            <c:dLbl>
              <c:idx val="1"/>
              <c:layout>
                <c:manualLayout>
                  <c:x val="4.9526769680105776E-2"/>
                  <c:y val="-5.8462746901162863E-2"/>
                </c:manualLayout>
              </c:layout>
              <c:tx>
                <c:rich>
                  <a:bodyPr/>
                  <a:lstStyle/>
                  <a:p>
                    <a:pPr>
                      <a:defRPr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cs typeface="Arial"/>
                      </a:rPr>
                      <a:t>Municipalities*</a:t>
                    </a:r>
                  </a:p>
                  <a:p>
                    <a:pPr>
                      <a:defRPr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cs typeface="Arial"/>
                      </a:rPr>
                      <a:t>0.59%</a:t>
                    </a:r>
                  </a:p>
                </c:rich>
              </c:tx>
              <c:numFmt formatCode="0.00%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8C3-4C64-A252-BB86C5493C6C}"/>
                </c:ext>
              </c:extLst>
            </c:dLbl>
            <c:dLbl>
              <c:idx val="2"/>
              <c:layout>
                <c:manualLayout>
                  <c:x val="1.9111596101570209E-2"/>
                  <c:y val="5.4118476636387754E-2"/>
                </c:manualLayout>
              </c:layout>
              <c:tx>
                <c:rich>
                  <a:bodyPr/>
                  <a:lstStyle/>
                  <a:p>
                    <a:pPr>
                      <a:defRPr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cs typeface="Arial"/>
                      </a:rPr>
                      <a:t>Other</a:t>
                    </a:r>
                  </a:p>
                  <a:p>
                    <a:pPr>
                      <a:defRPr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100" b="0" i="0" u="none" strike="noStrike" baseline="0">
                        <a:solidFill>
                          <a:sysClr val="windowText" lastClr="000000"/>
                        </a:solidFill>
                        <a:latin typeface="Arial"/>
                        <a:cs typeface="Arial"/>
                      </a:rPr>
                      <a:t>0.44%</a:t>
                    </a:r>
                  </a:p>
                </c:rich>
              </c:tx>
              <c:numFmt formatCode="0.00%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8C3-4C64-A252-BB86C5493C6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4548913068419094"/>
                  <c:y val="0.51459945718710298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ysClr val="windowText" lastClr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cs-CZ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C3-4C64-A252-BB86C5493C6C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cs-C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Shareholder_struc!$B$3</c:f>
              <c:strCache>
                <c:ptCount val="1"/>
                <c:pt idx="0">
                  <c:v>EGB AG</c:v>
                </c:pt>
              </c:strCache>
            </c:strRef>
          </c:cat>
          <c:val>
            <c:numRef>
              <c:f>Shareholder_struc!$D$3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C3-4C64-A252-BB86C5493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133350</xdr:rowOff>
    </xdr:from>
    <xdr:to>
      <xdr:col>5</xdr:col>
      <xdr:colOff>285750</xdr:colOff>
      <xdr:row>19</xdr:row>
      <xdr:rowOff>76200</xdr:rowOff>
    </xdr:to>
    <xdr:graphicFrame macro="">
      <xdr:nvGraphicFramePr>
        <xdr:cNvPr id="3" name="graf 1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Konzernplanung\Mb-AG%202002\Versand\Plan2002-A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db.cnb.cz/3!5-12/vk2000/5-12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1xxx\1200\1210\1_Reports\1_Provisions\2003\3_forecast_budget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04\kondor\EquityDesk\EquityFinReport0005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sset_Quality\Asset_Quality200609\Gesamt\Summenblatt_AQ_BRANCHEN_HV_2006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Konzernplanung\Mb-AG%202002\Versand\Plan2002-&#21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Konzernplanung\Mb-AG\Kommenta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Documents%20and%20Settings\cen10766\Local%20Settings\Temporary%20Internet%20Files\OLK7\Local%20Reporting%20Template%20(CZ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DOCUME~1\cen12289\LOCALS~1\Temp\Do&#269;asn&#253;%20adres&#225;&#345;%201%20pro%20Local%20Reporting%20Template%20(CZ).zip\EB%20Master%20Glossary%20+%20AR%20Tabl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UZIV\cen4700\model\modelka\scenari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OLICY6.0\1999\PQR\MISC\CONV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UZIV\cen4700\model\modelka010828\scenario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Dokumente%20und%20Einstellungen\a98b48a\Lokale%20Einstellungen\Temp\Dokumente%20und%20Einstellungen\a98tn7b\Lokale%20Einstellungen\Temporary%20Internet%20Files\OLK4\Rechnungswesen%20Dezember%20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WINDOWS\TEMP\$WC\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\OE_ORD\Kredrisk\200012\Berichte\Jahresbericht%202000%20(Tabellen)\Kapitel%2004%20Entwicklung%20Obligo%20und%20Saldo%20nach%20Vertriebsverantwortu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UZIV\cen4022\IAS%2002\12_02\Leas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NVREL\IR%20Toolkit%20New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2xxx\2010\Prezentace\Prezentace%20HV\2022\Q1-3%202022\Kl&#237;&#269;ov&#233;%20&#250;daje\Key%20figures_Q1-3%20202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eingruber\Lissa\Model\Lissa%20DCF%20v3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\Products\Steering%20Committee\Austri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zso.cz/Zeman/Dokumenty/PhD/XLS/Divorce_C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Dokumente%20und%20Einstellungen\a98b48a\Lokale%20Einstellungen\Temp\0724\Jahresabschluss\Abschluss_2002_3112\Summenbl&#228;tter\Summenbl&#228;tter_Baustelle\Summenbl&#228;tter_alt\Summenblatt06_Anlagespiege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REDITPO\POLICY6.0\1999\PQR\MISC\CON_FP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_AUDIT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b0psa003\divize_s\UZIV\cen4022\IAS%2002\11_02\10_02\09_02\leasing%2009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Mon"/>
      <sheetName val="PlanYTD"/>
      <sheetName val="Top30"/>
    </sheetNames>
    <sheetDataSet>
      <sheetData sheetId="0" refreshError="1">
        <row r="5">
          <cell r="C5">
            <v>196681.64889683123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ŘADA"/>
      <sheetName val="A99"/>
      <sheetName val="01"/>
      <sheetName val="02"/>
      <sheetName val="03"/>
      <sheetName val="05"/>
      <sheetName val="07"/>
      <sheetName val="TISK"/>
      <sheetName val="List1"/>
      <sheetName val="LIST"/>
    </sheetNames>
    <sheetDataSet>
      <sheetData sheetId="0" refreshError="1">
        <row r="5">
          <cell r="D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21">
          <cell r="B121" t="str">
            <v>A99!$B$6:$DZ42</v>
          </cell>
        </row>
        <row r="122">
          <cell r="B122" t="str">
            <v>A99!$B$43:$DZ79</v>
          </cell>
        </row>
        <row r="123">
          <cell r="B123" t="str">
            <v>A99!$B$80:$DZ116</v>
          </cell>
        </row>
        <row r="124">
          <cell r="B124" t="str">
            <v>A99!$B$117:$DZ153</v>
          </cell>
        </row>
        <row r="125">
          <cell r="B125" t="str">
            <v>A99!$B$154:$DZ190</v>
          </cell>
        </row>
        <row r="126">
          <cell r="B126" t="str">
            <v>A99!$B$191:$DZ227</v>
          </cell>
        </row>
        <row r="127">
          <cell r="B127" t="str">
            <v>A99!$B$228:$DZ264</v>
          </cell>
        </row>
        <row r="128">
          <cell r="B128" t="str">
            <v>A99!$B$265:$DZ301</v>
          </cell>
        </row>
        <row r="129">
          <cell r="B129" t="str">
            <v>A99!$B$302:$DZ338</v>
          </cell>
        </row>
        <row r="130">
          <cell r="B130" t="str">
            <v>A99!$B$339:$DZ375</v>
          </cell>
        </row>
        <row r="131">
          <cell r="B131" t="str">
            <v>A99!$B$376:$DZ412</v>
          </cell>
        </row>
        <row r="132">
          <cell r="B132" t="str">
            <v>A99!$B$413:$DZ449</v>
          </cell>
        </row>
        <row r="133">
          <cell r="B133" t="str">
            <v>A99!$B$450:$DZ486</v>
          </cell>
        </row>
        <row r="134">
          <cell r="B134" t="str">
            <v>A99!$B$487:$DZ523</v>
          </cell>
        </row>
        <row r="135">
          <cell r="B135" t="str">
            <v>A99!$B$524:$DZ560</v>
          </cell>
        </row>
        <row r="136">
          <cell r="B136" t="str">
            <v>A99!$B$561:$DZ597</v>
          </cell>
        </row>
        <row r="137">
          <cell r="B137" t="str">
            <v>A99!$B$598:$DZ634</v>
          </cell>
        </row>
        <row r="138">
          <cell r="B138" t="str">
            <v>A99!$B$635:$DZ671</v>
          </cell>
        </row>
        <row r="139">
          <cell r="B139" t="str">
            <v>A99!$B$672:$DZ708</v>
          </cell>
        </row>
        <row r="140">
          <cell r="B140" t="str">
            <v>A99!$B$709:$DZ745</v>
          </cell>
        </row>
        <row r="141">
          <cell r="B141" t="str">
            <v>A99!$B$746:$DZ782</v>
          </cell>
        </row>
        <row r="142">
          <cell r="B142" t="str">
            <v>A99!$B$783:$DZ819</v>
          </cell>
        </row>
        <row r="143">
          <cell r="B143" t="str">
            <v>A99!$B$820:$DZ856</v>
          </cell>
        </row>
        <row r="144">
          <cell r="B144" t="str">
            <v>A99!$B$857:$DZ893</v>
          </cell>
        </row>
        <row r="145">
          <cell r="B145" t="str">
            <v>A99!$B$894:$DZ930</v>
          </cell>
        </row>
        <row r="146">
          <cell r="B146" t="str">
            <v>A99!$B$931:$DZ967</v>
          </cell>
        </row>
        <row r="147">
          <cell r="B147" t="str">
            <v>A99!$B$968:$DZ1004</v>
          </cell>
        </row>
        <row r="148">
          <cell r="B148" t="str">
            <v>A99!$B$1005:$DZ1041</v>
          </cell>
        </row>
        <row r="149">
          <cell r="B149" t="str">
            <v>A99!$B$1042:$DZ1078</v>
          </cell>
        </row>
        <row r="150">
          <cell r="B150" t="str">
            <v>A99!$B$1079:$DZ1115</v>
          </cell>
        </row>
        <row r="151">
          <cell r="B151" t="str">
            <v>A99!$B$1116:$DZ1152</v>
          </cell>
        </row>
        <row r="152">
          <cell r="B152" t="str">
            <v>A99!$B$1153:$DZ1189</v>
          </cell>
        </row>
        <row r="153">
          <cell r="B153" t="str">
            <v>A99!$B$1190:$DZ1226</v>
          </cell>
        </row>
        <row r="154">
          <cell r="B154" t="str">
            <v>A99!$B$1227:$DZ1263</v>
          </cell>
        </row>
        <row r="155">
          <cell r="B155" t="str">
            <v>A99!$B$1264:$DZ1300</v>
          </cell>
        </row>
        <row r="156">
          <cell r="B156" t="str">
            <v>A99!$B$1301:$DZ1337</v>
          </cell>
        </row>
        <row r="157">
          <cell r="B157" t="str">
            <v>A99!$B$1338:$DZ1374</v>
          </cell>
        </row>
        <row r="158">
          <cell r="B158" t="str">
            <v>A99!$B$1375:$DZ1411</v>
          </cell>
        </row>
        <row r="159">
          <cell r="B159" t="str">
            <v>A99!$B$1412:$DZ1448</v>
          </cell>
        </row>
        <row r="160">
          <cell r="B160" t="str">
            <v>A99!$B$1449:$DZ1485</v>
          </cell>
        </row>
        <row r="161">
          <cell r="B161" t="str">
            <v>A99!$B$1486:$DZ1522</v>
          </cell>
        </row>
        <row r="162">
          <cell r="B162" t="str">
            <v>A99!$B$1523:$DZ1559</v>
          </cell>
        </row>
        <row r="163">
          <cell r="B163" t="str">
            <v>A99!$B$1560:$DZ1596</v>
          </cell>
        </row>
        <row r="164">
          <cell r="B164" t="str">
            <v>A99!$B$1597:$DZ1633</v>
          </cell>
        </row>
        <row r="165">
          <cell r="B165" t="str">
            <v>A99!$B$1634:$DZ1670</v>
          </cell>
        </row>
        <row r="166">
          <cell r="B166" t="str">
            <v>A99!$B$1671:$DZ1707</v>
          </cell>
        </row>
        <row r="167">
          <cell r="B167" t="str">
            <v>A99!$B$1708:$DZ1744</v>
          </cell>
        </row>
        <row r="168">
          <cell r="B168" t="str">
            <v>A99!$B$1745:$DZ1781</v>
          </cell>
        </row>
        <row r="169">
          <cell r="B169" t="str">
            <v>A99!$B$1782:$DZ1818</v>
          </cell>
        </row>
        <row r="170">
          <cell r="B170" t="str">
            <v>A99!$B$1819:$DZ1855</v>
          </cell>
        </row>
        <row r="171">
          <cell r="B171" t="str">
            <v>A99!$B$1856:$DZ1892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Swap"/>
      <sheetName val="Bond Monitor"/>
      <sheetName val="CapColFlr"/>
      <sheetName val="#REF"/>
      <sheetName val="Swaptions"/>
      <sheetName val="EquityFinReport000503"/>
      <sheetName val="Tabelle1"/>
      <sheetName val="4.KAPITAL"/>
      <sheetName val="5.KONSOLIDIERUNGSINFO"/>
      <sheetName val="DECKBLA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ehrung und Datum"/>
      <sheetName val="Publik. Branchen kurz engl."/>
      <sheetName val="Publikation Branchen HV engl."/>
      <sheetName val="Publik. Branchen kurz dt."/>
      <sheetName val="Publikation Branchen HV deutsch"/>
      <sheetName val="GESAMT"/>
      <sheetName val="ERSTE"/>
      <sheetName val="AK1"/>
      <sheetName val="SPK gesamt"/>
      <sheetName val="E2072"/>
      <sheetName val="E2100"/>
      <sheetName val="X2102"/>
      <sheetName val="E2122"/>
      <sheetName val="E2124"/>
      <sheetName val="E2139"/>
      <sheetName val="E21350"/>
      <sheetName val="E2140"/>
      <sheetName val="E2145"/>
      <sheetName val="E21450"/>
      <sheetName val="E2150"/>
      <sheetName val="E21500 "/>
      <sheetName val="E2171"/>
      <sheetName val="E2186"/>
      <sheetName val="E2192"/>
      <sheetName val="E2300"/>
      <sheetName val="E2342"/>
      <sheetName val="E2402"/>
      <sheetName val="E2414"/>
      <sheetName val="E2416"/>
      <sheetName val="E2503"/>
      <sheetName val="E2504"/>
      <sheetName val="X2528"/>
      <sheetName val="X2531"/>
      <sheetName val="X2536"/>
      <sheetName val="X2537"/>
      <sheetName val="X2538"/>
      <sheetName val="E3200"/>
      <sheetName val="E3205"/>
      <sheetName val="E3210"/>
      <sheetName val="E3300"/>
      <sheetName val="V3374"/>
      <sheetName val="E3407"/>
      <sheetName val="E3409"/>
      <sheetName val="E3422"/>
      <sheetName val="E3509"/>
      <sheetName val="E3601"/>
      <sheetName val="E3611"/>
      <sheetName val="E3618"/>
      <sheetName val="E3642"/>
      <sheetName val="E3646"/>
      <sheetName val="E3650"/>
      <sheetName val="E3711"/>
      <sheetName val="E3712"/>
      <sheetName val="E3717"/>
      <sheetName val="E3721"/>
      <sheetName val="E3735"/>
      <sheetName val="E3736"/>
      <sheetName val="X3741"/>
      <sheetName val="E3753"/>
      <sheetName val="E3761"/>
      <sheetName val="E3767"/>
      <sheetName val="E3780"/>
      <sheetName val="E3787"/>
      <sheetName val="E3790"/>
      <sheetName val="E3800"/>
      <sheetName val="E3801"/>
      <sheetName val="E3862"/>
      <sheetName val="WHG ---&gt;"/>
      <sheetName val="E2139_HUF"/>
      <sheetName val="E2140_SKK"/>
      <sheetName val="E2145_CZK"/>
      <sheetName val="E21450_CZK"/>
      <sheetName val="E2150_CSD"/>
      <sheetName val="E2192_HRK"/>
      <sheetName val="E2503_HRK"/>
      <sheetName val="E2504_PLN"/>
      <sheetName val="E3618_CZK"/>
      <sheetName val="E3761_SKK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Mon"/>
      <sheetName val="PlanYTD"/>
      <sheetName val="PlanDetail-HGB-IAS"/>
      <sheetName val="ZI-Planverteilung"/>
    </sheetNames>
    <sheetDataSet>
      <sheetData sheetId="0" refreshError="1">
        <row r="2">
          <cell r="AU2" t="str">
            <v>HB1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rzkommentar"/>
      <sheetName val="Kommentar GuV-Positionen"/>
      <sheetName val="KurzkommentarEUR"/>
      <sheetName val="Kommentar GuV-PositionenEURO"/>
    </sheetNames>
    <sheetDataSet>
      <sheetData sheetId="0" refreshError="1">
        <row r="29">
          <cell r="B29">
            <v>34.634032596202381</v>
          </cell>
          <cell r="C29">
            <v>17.986226291739602</v>
          </cell>
          <cell r="D29">
            <v>-16.64780630446278</v>
          </cell>
          <cell r="F29">
            <v>1975.0073060621314</v>
          </cell>
          <cell r="G29">
            <v>1388.2185944912712</v>
          </cell>
          <cell r="H29">
            <v>-586.78871157086019</v>
          </cell>
          <cell r="I29">
            <v>-397.0853558783981</v>
          </cell>
        </row>
        <row r="30">
          <cell r="B30">
            <v>10.004001999999877</v>
          </cell>
          <cell r="C30">
            <v>8.769304999999866</v>
          </cell>
          <cell r="D30">
            <v>-1.2346970000000113</v>
          </cell>
          <cell r="F30">
            <v>202.8432100051923</v>
          </cell>
          <cell r="G30">
            <v>135.38990599999974</v>
          </cell>
          <cell r="H30">
            <v>-67.453304005192564</v>
          </cell>
          <cell r="I30">
            <v>30.050390399999728</v>
          </cell>
        </row>
        <row r="31">
          <cell r="B31">
            <v>69.364000000000004</v>
          </cell>
          <cell r="C31">
            <v>27.437999999999999</v>
          </cell>
          <cell r="D31">
            <v>-41.926000000000002</v>
          </cell>
          <cell r="F31">
            <v>282.47330250302866</v>
          </cell>
          <cell r="G31">
            <v>493.52200000000005</v>
          </cell>
          <cell r="H31">
            <v>211.04869749697139</v>
          </cell>
          <cell r="I31">
            <v>182.83525312500001</v>
          </cell>
        </row>
        <row r="32">
          <cell r="B32">
            <v>25.202053639999725</v>
          </cell>
          <cell r="C32">
            <v>17.681678999999971</v>
          </cell>
          <cell r="D32">
            <v>-7.5203746399997549</v>
          </cell>
          <cell r="F32">
            <v>159.4759731024825</v>
          </cell>
          <cell r="G32">
            <v>321.28525463999978</v>
          </cell>
          <cell r="H32">
            <v>161.80928153751728</v>
          </cell>
          <cell r="I32">
            <v>178.36631113999977</v>
          </cell>
        </row>
        <row r="33">
          <cell r="B33">
            <v>139.20408823620198</v>
          </cell>
          <cell r="C33">
            <v>71.875210291739435</v>
          </cell>
          <cell r="D33">
            <v>-67.328877944462548</v>
          </cell>
          <cell r="F33">
            <v>2619.799791672835</v>
          </cell>
          <cell r="G33">
            <v>2338.415755131271</v>
          </cell>
          <cell r="H33">
            <v>-281.384036541564</v>
          </cell>
          <cell r="I33">
            <v>-5.8334012133963569</v>
          </cell>
        </row>
      </sheetData>
      <sheetData sheetId="1" refreshError="1">
        <row r="12">
          <cell r="B12">
            <v>543.32997698443523</v>
          </cell>
          <cell r="C12">
            <v>573.26399194666647</v>
          </cell>
          <cell r="D12">
            <v>29.934014962231231</v>
          </cell>
          <cell r="F12">
            <v>5778.8501414233369</v>
          </cell>
          <cell r="G12">
            <v>6676.7286892933289</v>
          </cell>
          <cell r="H12">
            <v>897.87854786999196</v>
          </cell>
          <cell r="I12">
            <v>1136.562022626661</v>
          </cell>
        </row>
        <row r="13">
          <cell r="B13">
            <v>382.78264490443519</v>
          </cell>
          <cell r="C13">
            <v>430.81833421666636</v>
          </cell>
          <cell r="D13">
            <v>48.03568931223117</v>
          </cell>
          <cell r="F13">
            <v>4087.0067130566699</v>
          </cell>
          <cell r="G13">
            <v>5069.6432934499981</v>
          </cell>
          <cell r="H13">
            <v>982.63658039332813</v>
          </cell>
          <cell r="I13">
            <v>887.9766267833304</v>
          </cell>
        </row>
        <row r="14">
          <cell r="B14">
            <v>44.86933208</v>
          </cell>
          <cell r="C14">
            <v>26.76765773</v>
          </cell>
          <cell r="D14">
            <v>-18.10167435</v>
          </cell>
          <cell r="F14">
            <v>328.4246187</v>
          </cell>
          <cell r="G14">
            <v>386.76206251000002</v>
          </cell>
          <cell r="H14">
            <v>58.337443810000025</v>
          </cell>
          <cell r="I14">
            <v>38.428729176666643</v>
          </cell>
        </row>
        <row r="15">
          <cell r="B15">
            <v>113.178</v>
          </cell>
          <cell r="C15">
            <v>113.178</v>
          </cell>
          <cell r="D15">
            <v>0</v>
          </cell>
          <cell r="F15">
            <v>1331.0541429999998</v>
          </cell>
          <cell r="G15">
            <v>1192.8233333333333</v>
          </cell>
          <cell r="H15">
            <v>-138.23080966666657</v>
          </cell>
          <cell r="I15">
            <v>223.90666666666638</v>
          </cell>
        </row>
        <row r="16">
          <cell r="B16">
            <v>2.5</v>
          </cell>
          <cell r="C16">
            <v>2.5</v>
          </cell>
          <cell r="D16">
            <v>0</v>
          </cell>
          <cell r="F16">
            <v>32.364666666666672</v>
          </cell>
          <cell r="G16">
            <v>27.500000000000007</v>
          </cell>
          <cell r="H16">
            <v>-4.8646666666666647</v>
          </cell>
          <cell r="I16">
            <v>-13.749999999999986</v>
          </cell>
        </row>
        <row r="17">
          <cell r="B17">
            <v>31.600462728494524</v>
          </cell>
          <cell r="C17">
            <v>36.137715194444297</v>
          </cell>
          <cell r="D17">
            <v>4.5372524659497735</v>
          </cell>
          <cell r="F17">
            <v>277.76678538452092</v>
          </cell>
          <cell r="G17">
            <v>353.33960499999972</v>
          </cell>
          <cell r="H17">
            <v>75.572819615478807</v>
          </cell>
          <cell r="I17">
            <v>51.399149699999668</v>
          </cell>
        </row>
        <row r="18">
          <cell r="B18">
            <v>90.224981182795702</v>
          </cell>
          <cell r="C18">
            <v>101.62709722222223</v>
          </cell>
          <cell r="D18">
            <v>11.402116039426531</v>
          </cell>
          <cell r="F18">
            <v>579.87202686666978</v>
          </cell>
          <cell r="G18">
            <v>814.64200000000005</v>
          </cell>
          <cell r="H18">
            <v>234.76997313333027</v>
          </cell>
          <cell r="I18">
            <v>158.79184850000001</v>
          </cell>
        </row>
        <row r="19">
          <cell r="B19">
            <v>36.145559489247049</v>
          </cell>
          <cell r="C19">
            <v>31.820803416666639</v>
          </cell>
          <cell r="D19">
            <v>-4.3247560725804099</v>
          </cell>
          <cell r="F19">
            <v>208.05974810333504</v>
          </cell>
          <cell r="G19">
            <v>316.90619199999981</v>
          </cell>
          <cell r="H19">
            <v>108.84644389666477</v>
          </cell>
          <cell r="I19">
            <v>63.710126999999773</v>
          </cell>
        </row>
        <row r="20">
          <cell r="B20">
            <v>701.30098038497249</v>
          </cell>
          <cell r="C20">
            <v>742.84960777999959</v>
          </cell>
          <cell r="D20">
            <v>41.548627395027125</v>
          </cell>
          <cell r="F20">
            <v>6844.5487017778632</v>
          </cell>
          <cell r="G20">
            <v>8161.6164862933283</v>
          </cell>
          <cell r="H20">
            <v>1317.0677845154657</v>
          </cell>
          <cell r="I20">
            <v>1410.4631478266606</v>
          </cell>
        </row>
        <row r="51">
          <cell r="B51">
            <v>44.59580484</v>
          </cell>
          <cell r="C51">
            <v>24.908481330000004</v>
          </cell>
          <cell r="D51">
            <v>-19.687323509999995</v>
          </cell>
          <cell r="F51">
            <v>286.15746847000003</v>
          </cell>
          <cell r="G51">
            <v>333.99348700999997</v>
          </cell>
          <cell r="H51">
            <v>47.836018539999941</v>
          </cell>
          <cell r="I51">
            <v>20.925708280476158</v>
          </cell>
        </row>
        <row r="52">
          <cell r="B52">
            <v>48.12484770999999</v>
          </cell>
          <cell r="C52">
            <v>43.337261660000003</v>
          </cell>
          <cell r="D52">
            <v>-4.7875860499999874</v>
          </cell>
          <cell r="F52">
            <v>462.84416780000004</v>
          </cell>
          <cell r="G52">
            <v>501.16574714000001</v>
          </cell>
          <cell r="H52">
            <v>38.321579339999971</v>
          </cell>
          <cell r="I52">
            <v>19.789405951904772</v>
          </cell>
        </row>
        <row r="53">
          <cell r="B53">
            <v>91.533609740000045</v>
          </cell>
          <cell r="C53">
            <v>124.16386977999989</v>
          </cell>
          <cell r="D53">
            <v>32.63026003999984</v>
          </cell>
          <cell r="F53">
            <v>1276.5852318699999</v>
          </cell>
          <cell r="G53">
            <v>1156.52332867</v>
          </cell>
          <cell r="H53">
            <v>-120.06190319999996</v>
          </cell>
          <cell r="I53">
            <v>-291.09335988864137</v>
          </cell>
        </row>
        <row r="54">
          <cell r="B54">
            <v>12.4</v>
          </cell>
          <cell r="C54">
            <v>14.4</v>
          </cell>
          <cell r="D54">
            <v>2</v>
          </cell>
          <cell r="F54">
            <v>139.51833836999998</v>
          </cell>
          <cell r="G54">
            <v>146.29959725000001</v>
          </cell>
          <cell r="H54">
            <v>6.7812588800000242</v>
          </cell>
          <cell r="I54">
            <v>-16.988120513946225</v>
          </cell>
        </row>
        <row r="55">
          <cell r="B55">
            <v>6.5</v>
          </cell>
          <cell r="C55">
            <v>4.3</v>
          </cell>
          <cell r="D55">
            <v>-2.2000000000000002</v>
          </cell>
          <cell r="F55">
            <v>64.085851289999994</v>
          </cell>
          <cell r="G55">
            <v>49.5</v>
          </cell>
          <cell r="H55">
            <v>-14.585851289999994</v>
          </cell>
          <cell r="I55">
            <v>-8.6272851180708159</v>
          </cell>
        </row>
        <row r="56">
          <cell r="B56">
            <v>22.574169880000007</v>
          </cell>
          <cell r="C56">
            <v>22.852148139999983</v>
          </cell>
          <cell r="D56">
            <v>0.27797825999997627</v>
          </cell>
          <cell r="F56">
            <v>242.97679525999999</v>
          </cell>
          <cell r="G56">
            <v>250.15813107</v>
          </cell>
          <cell r="H56">
            <v>7.1813358100000073</v>
          </cell>
          <cell r="I56">
            <v>-25.885972897474129</v>
          </cell>
        </row>
        <row r="57">
          <cell r="B57">
            <v>0</v>
          </cell>
          <cell r="C57">
            <v>2.6440061400000006</v>
          </cell>
          <cell r="D57">
            <v>2.6440061400000006</v>
          </cell>
          <cell r="F57">
            <v>40.840741379999997</v>
          </cell>
          <cell r="G57">
            <v>12.623593489999999</v>
          </cell>
          <cell r="H57">
            <v>-28.21714789</v>
          </cell>
          <cell r="I57">
            <v>-37.040867478960024</v>
          </cell>
        </row>
        <row r="58">
          <cell r="B58">
            <v>20.66410475</v>
          </cell>
          <cell r="C58">
            <v>43.759012820000002</v>
          </cell>
          <cell r="D58">
            <v>23.094908070000002</v>
          </cell>
          <cell r="F58">
            <v>95.937048440000012</v>
          </cell>
          <cell r="G58">
            <v>222.69120741</v>
          </cell>
          <cell r="H58">
            <v>126.75415896999999</v>
          </cell>
          <cell r="I58">
            <v>75.95530000170902</v>
          </cell>
        </row>
        <row r="59">
          <cell r="B59">
            <v>246.39253692000005</v>
          </cell>
          <cell r="C59">
            <v>280.36477986999989</v>
          </cell>
          <cell r="D59">
            <v>33.972242949999838</v>
          </cell>
          <cell r="F59">
            <v>2608.9456428799999</v>
          </cell>
          <cell r="G59">
            <v>2672.9550920399997</v>
          </cell>
          <cell r="H59">
            <v>64.009449159999974</v>
          </cell>
          <cell r="I59">
            <v>-262.96519166300232</v>
          </cell>
        </row>
        <row r="60">
          <cell r="B60">
            <v>1.6802829999999995</v>
          </cell>
          <cell r="C60">
            <v>1.5774530000000007</v>
          </cell>
          <cell r="D60">
            <v>-0.10282999999999887</v>
          </cell>
          <cell r="F60">
            <v>32.003696864724049</v>
          </cell>
          <cell r="G60">
            <v>18.924374999999998</v>
          </cell>
          <cell r="H60">
            <v>-13.079321864724051</v>
          </cell>
          <cell r="I60">
            <v>3.6353975599999995</v>
          </cell>
        </row>
        <row r="61">
          <cell r="B61">
            <v>10.702999999999999</v>
          </cell>
          <cell r="C61">
            <v>13.394</v>
          </cell>
          <cell r="D61">
            <v>2.6910000000000007</v>
          </cell>
          <cell r="F61">
            <v>48.374185829898643</v>
          </cell>
          <cell r="G61">
            <v>109.342</v>
          </cell>
          <cell r="H61">
            <v>60.967814170101356</v>
          </cell>
          <cell r="I61">
            <v>39.474401499999999</v>
          </cell>
        </row>
        <row r="62">
          <cell r="B62">
            <v>3.4543800000000022</v>
          </cell>
          <cell r="C62">
            <v>3.2563100000000018</v>
          </cell>
          <cell r="D62">
            <v>-0.19807000000000041</v>
          </cell>
          <cell r="F62">
            <v>13.450891377710418</v>
          </cell>
          <cell r="G62">
            <v>35.282268000000002</v>
          </cell>
          <cell r="H62">
            <v>21.831376622289582</v>
          </cell>
          <cell r="I62">
            <v>31.708913500000001</v>
          </cell>
        </row>
        <row r="63">
          <cell r="B63">
            <v>262.23019992000008</v>
          </cell>
          <cell r="C63">
            <v>298.59254286999987</v>
          </cell>
          <cell r="D63">
            <v>36.362342949999842</v>
          </cell>
          <cell r="F63">
            <v>2702.774416952333</v>
          </cell>
          <cell r="G63">
            <v>2836.5037350399998</v>
          </cell>
          <cell r="H63">
            <v>133.72931808766685</v>
          </cell>
          <cell r="I63">
            <v>-188.14647910300255</v>
          </cell>
        </row>
        <row r="91">
          <cell r="B91">
            <v>109.607</v>
          </cell>
          <cell r="C91">
            <v>115.142</v>
          </cell>
          <cell r="D91">
            <v>5.5349999999999966</v>
          </cell>
          <cell r="F91">
            <v>601.42999999999995</v>
          </cell>
          <cell r="G91">
            <v>441.16300000000001</v>
          </cell>
          <cell r="H91">
            <v>-160.26699999999994</v>
          </cell>
          <cell r="I91">
            <v>-267.23700000000002</v>
          </cell>
        </row>
        <row r="92">
          <cell r="B92">
            <v>-7.6920000000000002</v>
          </cell>
          <cell r="C92">
            <v>-31.143999999999998</v>
          </cell>
          <cell r="D92">
            <v>-23.451999999999998</v>
          </cell>
          <cell r="F92">
            <v>172.94900000000001</v>
          </cell>
          <cell r="G92">
            <v>164.17099999999999</v>
          </cell>
          <cell r="H92">
            <v>-8.77800000000002</v>
          </cell>
          <cell r="I92">
            <v>-130.53733333333332</v>
          </cell>
        </row>
        <row r="93">
          <cell r="B93">
            <v>13.372999999999999</v>
          </cell>
          <cell r="C93">
            <v>13.808</v>
          </cell>
          <cell r="D93">
            <v>0.4350000000000005</v>
          </cell>
          <cell r="F93">
            <v>123.67400000000001</v>
          </cell>
          <cell r="G93">
            <v>116.051</v>
          </cell>
          <cell r="H93">
            <v>-7.6230000000000047</v>
          </cell>
          <cell r="I93">
            <v>-61.690666666666672</v>
          </cell>
        </row>
        <row r="94">
          <cell r="B94">
            <v>115.288</v>
          </cell>
          <cell r="C94">
            <v>97.805999999999983</v>
          </cell>
          <cell r="D94">
            <v>-17.481999999999999</v>
          </cell>
          <cell r="F94">
            <v>898.05299999999988</v>
          </cell>
          <cell r="G94">
            <v>721.3850000000001</v>
          </cell>
          <cell r="H94">
            <v>-176.66799999999995</v>
          </cell>
          <cell r="I94">
            <v>-459.46499999999992</v>
          </cell>
        </row>
        <row r="95">
          <cell r="B95">
            <v>1.049000000000092E-3</v>
          </cell>
          <cell r="C95">
            <v>-5.1720000000000255E-3</v>
          </cell>
          <cell r="D95">
            <v>-6.2210000000001171E-3</v>
          </cell>
          <cell r="F95">
            <v>73.683384159836521</v>
          </cell>
          <cell r="G95">
            <v>19.890868999999999</v>
          </cell>
          <cell r="H95">
            <v>-53.792515159836526</v>
          </cell>
          <cell r="I95">
            <v>19.890868999999999</v>
          </cell>
        </row>
        <row r="96">
          <cell r="B96">
            <v>1.323</v>
          </cell>
          <cell r="C96">
            <v>0.879</v>
          </cell>
          <cell r="D96">
            <v>-0.44399999999999995</v>
          </cell>
          <cell r="F96">
            <v>-1.2292784560341765</v>
          </cell>
          <cell r="G96">
            <v>6.3179999999999996</v>
          </cell>
          <cell r="H96">
            <v>7.5472784560341761</v>
          </cell>
          <cell r="I96">
            <v>-13.573692500000002</v>
          </cell>
        </row>
        <row r="97">
          <cell r="B97">
            <v>16.18175699999999</v>
          </cell>
          <cell r="C97">
            <v>-7.4128440000000007</v>
          </cell>
          <cell r="D97">
            <v>-23.59460099999999</v>
          </cell>
          <cell r="F97">
            <v>1.317315405526583</v>
          </cell>
          <cell r="G97">
            <v>96.888183999999995</v>
          </cell>
          <cell r="H97">
            <v>95.57086859447341</v>
          </cell>
          <cell r="I97">
            <v>78.055683999999999</v>
          </cell>
        </row>
        <row r="98">
          <cell r="B98">
            <v>132.79380599999996</v>
          </cell>
          <cell r="C98">
            <v>91.266983999999979</v>
          </cell>
          <cell r="D98">
            <v>-41.526821999999989</v>
          </cell>
          <cell r="F98">
            <v>971.8244211093288</v>
          </cell>
          <cell r="G98">
            <v>844.48205300000006</v>
          </cell>
          <cell r="H98">
            <v>-127.34236810932887</v>
          </cell>
          <cell r="I98">
            <v>-375.09213950000026</v>
          </cell>
        </row>
        <row r="114">
          <cell r="B114">
            <v>2.266</v>
          </cell>
          <cell r="C114">
            <v>33.116</v>
          </cell>
          <cell r="D114">
            <v>30.85</v>
          </cell>
          <cell r="F114">
            <v>46.390999999999998</v>
          </cell>
          <cell r="G114">
            <v>118.39100000000001</v>
          </cell>
          <cell r="H114">
            <v>72</v>
          </cell>
        </row>
        <row r="115">
          <cell r="B115">
            <v>-6.08</v>
          </cell>
          <cell r="C115">
            <v>5.774</v>
          </cell>
          <cell r="D115">
            <v>11.853999999999999</v>
          </cell>
          <cell r="F115">
            <v>177.08600000000001</v>
          </cell>
          <cell r="G115">
            <v>11.714</v>
          </cell>
          <cell r="H115">
            <v>-165.37200000000001</v>
          </cell>
        </row>
        <row r="116">
          <cell r="B116">
            <v>43.27</v>
          </cell>
          <cell r="C116">
            <v>41.255000000000003</v>
          </cell>
          <cell r="D116">
            <v>-2.0150000000000006</v>
          </cell>
          <cell r="F116">
            <v>223.61600000000001</v>
          </cell>
          <cell r="G116">
            <v>312.827</v>
          </cell>
          <cell r="H116">
            <v>89.210999999999984</v>
          </cell>
        </row>
        <row r="117">
          <cell r="B117">
            <v>23.581</v>
          </cell>
          <cell r="C117">
            <v>-9.2629999999999999</v>
          </cell>
          <cell r="D117">
            <v>-32.844000000000001</v>
          </cell>
          <cell r="F117">
            <v>212.066</v>
          </cell>
          <cell r="G117">
            <v>151.47300000000001</v>
          </cell>
          <cell r="H117">
            <v>-60.592999999999989</v>
          </cell>
        </row>
        <row r="118">
          <cell r="B118">
            <v>0</v>
          </cell>
          <cell r="C118">
            <v>0</v>
          </cell>
          <cell r="D118">
            <v>0</v>
          </cell>
          <cell r="F118">
            <v>28.376999999999999</v>
          </cell>
          <cell r="G118">
            <v>0</v>
          </cell>
          <cell r="H118">
            <v>-28.376999999999999</v>
          </cell>
        </row>
        <row r="119">
          <cell r="B119">
            <v>14.917</v>
          </cell>
          <cell r="C119">
            <v>-2.9140000000000001</v>
          </cell>
          <cell r="D119">
            <v>-17.831</v>
          </cell>
          <cell r="F119">
            <v>-18.510999999999999</v>
          </cell>
          <cell r="G119">
            <v>34.323</v>
          </cell>
          <cell r="H119">
            <v>52.834000000000003</v>
          </cell>
        </row>
        <row r="120">
          <cell r="B120">
            <v>-2.4289999999999998</v>
          </cell>
          <cell r="C120">
            <v>-25.294</v>
          </cell>
          <cell r="D120">
            <v>-22.865000000000002</v>
          </cell>
          <cell r="F120">
            <v>135.93199999999999</v>
          </cell>
          <cell r="G120">
            <v>134.26900000000001</v>
          </cell>
          <cell r="H120">
            <v>-1.6629999999999825</v>
          </cell>
        </row>
        <row r="121">
          <cell r="B121">
            <v>13.372999999999999</v>
          </cell>
          <cell r="C121">
            <v>13.808</v>
          </cell>
          <cell r="D121">
            <v>0.4350000000000005</v>
          </cell>
          <cell r="F121">
            <v>123.67400000000001</v>
          </cell>
          <cell r="G121">
            <v>116.051</v>
          </cell>
          <cell r="H121">
            <v>-7.6230000000000047</v>
          </cell>
        </row>
        <row r="122">
          <cell r="B122">
            <v>26.387</v>
          </cell>
          <cell r="C122">
            <v>41.320999999999998</v>
          </cell>
          <cell r="D122">
            <v>14.933999999999997</v>
          </cell>
          <cell r="F122">
            <v>-30.579000000000001</v>
          </cell>
          <cell r="G122">
            <v>-157.667</v>
          </cell>
          <cell r="H122">
            <v>-127.08799999999999</v>
          </cell>
        </row>
        <row r="123">
          <cell r="B123">
            <v>115.28500000000001</v>
          </cell>
          <cell r="C123">
            <v>97.802999999999997</v>
          </cell>
          <cell r="D123">
            <v>-17.481999999999999</v>
          </cell>
          <cell r="F123">
            <v>898.05200000000002</v>
          </cell>
          <cell r="G123">
            <v>721.38099999999997</v>
          </cell>
          <cell r="H123">
            <v>-176.67100000000005</v>
          </cell>
          <cell r="I123">
            <v>-459.46499999999992</v>
          </cell>
        </row>
        <row r="132">
          <cell r="B132">
            <v>-403.67205394268643</v>
          </cell>
          <cell r="C132">
            <v>-389.20928969770387</v>
          </cell>
          <cell r="D132">
            <v>14.462764244982566</v>
          </cell>
          <cell r="F132">
            <v>-3738.2826540200003</v>
          </cell>
          <cell r="G132">
            <v>-3932.7454900203902</v>
          </cell>
          <cell r="H132">
            <v>-194.46283600038987</v>
          </cell>
          <cell r="I132">
            <v>-70.828823353722328</v>
          </cell>
        </row>
        <row r="133">
          <cell r="B133">
            <v>-231.33536732777748</v>
          </cell>
          <cell r="C133">
            <v>-233.85306306055602</v>
          </cell>
          <cell r="D133">
            <v>-2.5176957327785487</v>
          </cell>
          <cell r="F133">
            <v>-2446.8329210642219</v>
          </cell>
          <cell r="G133">
            <v>-2503.0624667383336</v>
          </cell>
          <cell r="H133">
            <v>-56.229545674111705</v>
          </cell>
          <cell r="I133">
            <v>-1.8128000716674251</v>
          </cell>
        </row>
        <row r="134">
          <cell r="B134">
            <v>-78.163583333333264</v>
          </cell>
          <cell r="C134">
            <v>-72.436083333333343</v>
          </cell>
          <cell r="D134">
            <v>5.727499999999921</v>
          </cell>
          <cell r="F134">
            <v>-672.14207249031779</v>
          </cell>
          <cell r="G134">
            <v>-756.79691666666668</v>
          </cell>
          <cell r="H134">
            <v>-84.654844176348888</v>
          </cell>
          <cell r="I134">
            <v>-45.463583333333418</v>
          </cell>
        </row>
        <row r="135">
          <cell r="B135">
            <v>-713.1710046037972</v>
          </cell>
          <cell r="C135">
            <v>-695.49843609159325</v>
          </cell>
          <cell r="D135">
            <v>17.672568512203938</v>
          </cell>
          <cell r="F135">
            <v>-6857.2576475745409</v>
          </cell>
          <cell r="G135">
            <v>-7192.6048734253909</v>
          </cell>
          <cell r="H135">
            <v>-335.34722585085046</v>
          </cell>
          <cell r="I135">
            <v>-118.10520675872317</v>
          </cell>
        </row>
        <row r="136">
          <cell r="B136">
            <v>-10.357939000000004</v>
          </cell>
          <cell r="C136">
            <v>-10.321452999999998</v>
          </cell>
          <cell r="D136">
            <v>3.6486000000005347E-2</v>
          </cell>
          <cell r="F136">
            <v>-118.67169597156976</v>
          </cell>
          <cell r="G136">
            <v>-119.31814399999999</v>
          </cell>
          <cell r="H136">
            <v>-0.64644802843022831</v>
          </cell>
          <cell r="I136">
            <v>6.224842139999998</v>
          </cell>
        </row>
        <row r="137">
          <cell r="B137">
            <v>-15.534000000000001</v>
          </cell>
          <cell r="C137">
            <v>-17.295000000000002</v>
          </cell>
          <cell r="D137">
            <v>-1.761000000000001</v>
          </cell>
          <cell r="F137">
            <v>-167.03949125331155</v>
          </cell>
          <cell r="G137">
            <v>-179.90399999999997</v>
          </cell>
          <cell r="H137">
            <v>-12.864508746688415</v>
          </cell>
          <cell r="I137">
            <v>29.744206624999997</v>
          </cell>
        </row>
        <row r="138">
          <cell r="B138">
            <v>-20.809051999999998</v>
          </cell>
          <cell r="C138">
            <v>-7.6634630000000001</v>
          </cell>
          <cell r="D138">
            <v>13.145588999999998</v>
          </cell>
          <cell r="F138">
            <v>-64.741342329404887</v>
          </cell>
          <cell r="G138">
            <v>-86.100145999999995</v>
          </cell>
          <cell r="H138">
            <v>-21.358803670595108</v>
          </cell>
          <cell r="I138">
            <v>-20.197432000000003</v>
          </cell>
        </row>
        <row r="139">
          <cell r="B139">
            <v>-759.87199560379713</v>
          </cell>
          <cell r="C139">
            <v>-730.77835209159321</v>
          </cell>
          <cell r="D139">
            <v>29.09364351220394</v>
          </cell>
          <cell r="F139">
            <v>-7207.7101771288262</v>
          </cell>
          <cell r="G139">
            <v>-7577.9271634253901</v>
          </cell>
          <cell r="H139">
            <v>-370.21698629656419</v>
          </cell>
          <cell r="I139">
            <v>-102.33358999372318</v>
          </cell>
        </row>
        <row r="170">
          <cell r="B170">
            <v>100.676</v>
          </cell>
          <cell r="C170">
            <v>-101.608</v>
          </cell>
          <cell r="D170">
            <v>-202.28399999999999</v>
          </cell>
          <cell r="F170">
            <v>35.323</v>
          </cell>
          <cell r="G170">
            <v>78.311999999999998</v>
          </cell>
          <cell r="H170">
            <v>42.988999999999997</v>
          </cell>
          <cell r="I170">
            <v>78.311999999999998</v>
          </cell>
        </row>
        <row r="171">
          <cell r="B171">
            <v>-88.252771666666646</v>
          </cell>
          <cell r="C171">
            <v>-6.4558333333333469</v>
          </cell>
          <cell r="D171">
            <v>81.796938333333301</v>
          </cell>
          <cell r="F171">
            <v>-173.90666666666669</v>
          </cell>
          <cell r="G171">
            <v>-211.07599999999999</v>
          </cell>
          <cell r="H171">
            <v>-37.169333333333299</v>
          </cell>
          <cell r="I171">
            <v>-279.82600000000002</v>
          </cell>
        </row>
        <row r="172">
          <cell r="B172">
            <v>35.301366666666667</v>
          </cell>
          <cell r="C172">
            <v>57.021255249999996</v>
          </cell>
          <cell r="D172">
            <v>21.719888583333329</v>
          </cell>
          <cell r="F172">
            <v>704.74616933333323</v>
          </cell>
          <cell r="G172">
            <v>116.73795525</v>
          </cell>
          <cell r="H172">
            <v>-588.0082140833332</v>
          </cell>
          <cell r="I172">
            <v>82.821288583333327</v>
          </cell>
        </row>
        <row r="173">
          <cell r="B173">
            <v>-0.58399999999999996</v>
          </cell>
          <cell r="C173">
            <v>0.41750000000000043</v>
          </cell>
          <cell r="D173">
            <v>1.0015000000000005</v>
          </cell>
          <cell r="F173">
            <v>22.708666666666666</v>
          </cell>
          <cell r="G173">
            <v>-4.4175000000000004</v>
          </cell>
          <cell r="H173">
            <v>-27.126166666666666</v>
          </cell>
          <cell r="I173">
            <v>12.999166666666667</v>
          </cell>
        </row>
        <row r="174">
          <cell r="B174">
            <v>47.140595000000019</v>
          </cell>
          <cell r="C174">
            <v>-50.625078083333349</v>
          </cell>
          <cell r="D174">
            <v>-97.765673083333354</v>
          </cell>
          <cell r="F174">
            <v>588.87116933333323</v>
          </cell>
          <cell r="G174">
            <v>-20.443544750000012</v>
          </cell>
          <cell r="H174">
            <v>-609.31471408333323</v>
          </cell>
          <cell r="I174">
            <v>-105.69354475000002</v>
          </cell>
        </row>
        <row r="175">
          <cell r="B175">
            <v>-2.9135160000000004</v>
          </cell>
          <cell r="C175">
            <v>-7.5543580000000006</v>
          </cell>
          <cell r="D175">
            <v>-4.6408420000000001</v>
          </cell>
          <cell r="F175">
            <v>-4.3725573114795599</v>
          </cell>
          <cell r="G175">
            <v>-20.333749999999998</v>
          </cell>
          <cell r="H175">
            <v>-15.961192688520438</v>
          </cell>
          <cell r="I175">
            <v>-18.318252999999999</v>
          </cell>
        </row>
        <row r="176">
          <cell r="B176">
            <v>1.827</v>
          </cell>
          <cell r="C176">
            <v>1.8919999999999999</v>
          </cell>
          <cell r="D176">
            <v>6.4999999999999947E-2</v>
          </cell>
          <cell r="F176">
            <v>41.53822964929725</v>
          </cell>
          <cell r="G176">
            <v>25.596</v>
          </cell>
          <cell r="H176">
            <v>-15.94222964929725</v>
          </cell>
          <cell r="I176">
            <v>17.951973500000001</v>
          </cell>
        </row>
        <row r="177">
          <cell r="B177">
            <v>0.16467763999999893</v>
          </cell>
          <cell r="C177">
            <v>4.0873539999999995</v>
          </cell>
          <cell r="D177">
            <v>3.9226763600000005</v>
          </cell>
          <cell r="F177">
            <v>1.3898017905568922</v>
          </cell>
          <cell r="G177">
            <v>23.718605639999996</v>
          </cell>
          <cell r="H177">
            <v>22.328803849443105</v>
          </cell>
          <cell r="I177">
            <v>24.082979639999998</v>
          </cell>
        </row>
        <row r="178">
          <cell r="B178">
            <v>46.218756640000016</v>
          </cell>
          <cell r="C178">
            <v>-52.200082083333349</v>
          </cell>
          <cell r="D178">
            <v>-98.418838723333366</v>
          </cell>
          <cell r="F178">
            <v>627.42664346170784</v>
          </cell>
          <cell r="G178">
            <v>8.5373108899999863</v>
          </cell>
          <cell r="H178">
            <v>-618.88933257170777</v>
          </cell>
          <cell r="I178">
            <v>-81.976844610000029</v>
          </cell>
        </row>
      </sheetData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Business indicators"/>
      <sheetName val="Financials &amp; ratios LCY"/>
      <sheetName val="Financials &amp; ratios EUR"/>
      <sheetName val="Economy &amp; banking market"/>
      <sheetName val="Old LB &amp; asset quality (IFRS) "/>
      <sheetName val="New loan book"/>
      <sheetName val="loanchart"/>
      <sheetName val="Market shares"/>
      <sheetName val="Margins"/>
      <sheetName val="Competition"/>
      <sheetName val="Pres_Tables"/>
      <sheetName val="Quarterly"/>
      <sheetName val="CMD 07 -1"/>
      <sheetName val="CMD 07 - 2"/>
      <sheetName val="CMD 07 - 3"/>
      <sheetName val="CMD 07 - 4"/>
      <sheetName val="CMD 07 - 5"/>
      <sheetName val="CMD 07 - 6"/>
      <sheetName val="CMD 07 - 7"/>
    </sheetNames>
    <sheetDataSet>
      <sheetData sheetId="0" refreshError="1"/>
      <sheetData sheetId="1" refreshError="1"/>
      <sheetData sheetId="2" refreshError="1">
        <row r="49">
          <cell r="B49" t="str">
            <v>1-3 00</v>
          </cell>
          <cell r="C49" t="str">
            <v>1-6 00</v>
          </cell>
          <cell r="D49" t="str">
            <v>1-9 00</v>
          </cell>
          <cell r="E49">
            <v>2000</v>
          </cell>
          <cell r="F49" t="str">
            <v>1-3 01</v>
          </cell>
          <cell r="G49" t="str">
            <v>1-6 01</v>
          </cell>
          <cell r="H49" t="str">
            <v>1-9 01</v>
          </cell>
          <cell r="I49">
            <v>2001</v>
          </cell>
          <cell r="J49" t="str">
            <v>1-3 02</v>
          </cell>
          <cell r="K49" t="str">
            <v>1-6 02</v>
          </cell>
          <cell r="L49" t="str">
            <v>1-9 02</v>
          </cell>
          <cell r="M49">
            <v>2002</v>
          </cell>
          <cell r="N49" t="str">
            <v>1-3 03</v>
          </cell>
          <cell r="O49" t="str">
            <v>1-6 03</v>
          </cell>
          <cell r="P49" t="str">
            <v>1-9 03</v>
          </cell>
          <cell r="Q49">
            <v>2003</v>
          </cell>
          <cell r="R49" t="str">
            <v>1-3 04</v>
          </cell>
          <cell r="S49" t="str">
            <v>1-6 04</v>
          </cell>
          <cell r="T49" t="str">
            <v>1-9 04</v>
          </cell>
          <cell r="U49">
            <v>2004</v>
          </cell>
          <cell r="V49" t="str">
            <v>1-3 05</v>
          </cell>
          <cell r="W49" t="str">
            <v>1-6 05</v>
          </cell>
          <cell r="X49" t="str">
            <v>1-9 05</v>
          </cell>
          <cell r="Y49">
            <v>2005</v>
          </cell>
          <cell r="Z49" t="str">
            <v>1-3 06</v>
          </cell>
          <cell r="AA49" t="str">
            <v>1-6 06</v>
          </cell>
          <cell r="AB49" t="str">
            <v>1-9 06</v>
          </cell>
          <cell r="AC49">
            <v>2006</v>
          </cell>
          <cell r="AD49" t="str">
            <v>1-3 07</v>
          </cell>
          <cell r="AE49" t="str">
            <v>1-6 07</v>
          </cell>
          <cell r="AF49" t="str">
            <v>1-9 07</v>
          </cell>
          <cell r="AG49">
            <v>2007</v>
          </cell>
          <cell r="AH49" t="str">
            <v>1-3 08</v>
          </cell>
          <cell r="AI49" t="str">
            <v>1-6 08</v>
          </cell>
          <cell r="AJ49" t="str">
            <v>1-9 08</v>
          </cell>
          <cell r="AK49">
            <v>2008</v>
          </cell>
          <cell r="AL49" t="str">
            <v>1-3 09</v>
          </cell>
          <cell r="AM49" t="str">
            <v>1-6 09</v>
          </cell>
          <cell r="AN49" t="str">
            <v>1-9 09</v>
          </cell>
          <cell r="AO49">
            <v>2009</v>
          </cell>
          <cell r="AP49" t="str">
            <v>1-3 10</v>
          </cell>
          <cell r="AQ49" t="str">
            <v>1-6 10</v>
          </cell>
          <cell r="AR49" t="str">
            <v>1-9 10</v>
          </cell>
          <cell r="AS49">
            <v>2010</v>
          </cell>
          <cell r="AT49" t="str">
            <v>1-3 11</v>
          </cell>
          <cell r="AU49" t="str">
            <v>1-6 11</v>
          </cell>
          <cell r="AV49" t="str">
            <v>1-9 11</v>
          </cell>
          <cell r="AW49">
            <v>2011</v>
          </cell>
          <cell r="AX49" t="str">
            <v>1-3 12</v>
          </cell>
          <cell r="AY49" t="str">
            <v>1-6 12</v>
          </cell>
          <cell r="AZ49" t="str">
            <v>1-9 12</v>
          </cell>
          <cell r="BA49">
            <v>2012</v>
          </cell>
          <cell r="BB49" t="str">
            <v>1-3 13</v>
          </cell>
          <cell r="BC49" t="str">
            <v>1-6 13</v>
          </cell>
          <cell r="BD49" t="str">
            <v>1-9 13</v>
          </cell>
          <cell r="BE49">
            <v>2013</v>
          </cell>
          <cell r="BF49" t="str">
            <v>1-3 14</v>
          </cell>
          <cell r="BG49" t="str">
            <v>1-6 14</v>
          </cell>
          <cell r="BH49" t="str">
            <v>1-9 14</v>
          </cell>
          <cell r="BI49">
            <v>2014</v>
          </cell>
          <cell r="BJ49" t="str">
            <v>1-3 15</v>
          </cell>
          <cell r="BK49" t="str">
            <v>1-6 15</v>
          </cell>
          <cell r="BL49" t="str">
            <v>1-9 15</v>
          </cell>
          <cell r="BM49">
            <v>2015</v>
          </cell>
        </row>
        <row r="50">
          <cell r="Z50">
            <v>6965.1287750000001</v>
          </cell>
          <cell r="AA50">
            <v>14305.833199999999</v>
          </cell>
          <cell r="AB50">
            <v>21494.9</v>
          </cell>
          <cell r="AC50">
            <v>29568.328615384617</v>
          </cell>
          <cell r="AD50">
            <v>8133.3854500000007</v>
          </cell>
          <cell r="AE50">
            <v>16932.436199999996</v>
          </cell>
          <cell r="AF50">
            <v>25834</v>
          </cell>
          <cell r="AG50">
            <v>35816.400000000001</v>
          </cell>
        </row>
        <row r="51">
          <cell r="Z51">
            <v>-1874.8971999999999</v>
          </cell>
          <cell r="AA51">
            <v>-3920.4991999999993</v>
          </cell>
          <cell r="AB51">
            <v>-5987.8</v>
          </cell>
          <cell r="AC51">
            <v>-8414.5119076923074</v>
          </cell>
          <cell r="AD51">
            <v>-2437.7765749999999</v>
          </cell>
          <cell r="AE51">
            <v>-5375.6894571428566</v>
          </cell>
          <cell r="AF51">
            <v>-7984.1</v>
          </cell>
          <cell r="AG51">
            <v>-11124.2</v>
          </cell>
        </row>
        <row r="52"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-5.8</v>
          </cell>
          <cell r="AG52">
            <v>-0.5</v>
          </cell>
        </row>
        <row r="53">
          <cell r="F53">
            <v>3425</v>
          </cell>
          <cell r="G53">
            <v>6902.7</v>
          </cell>
          <cell r="H53">
            <v>10794</v>
          </cell>
          <cell r="I53">
            <v>15156</v>
          </cell>
          <cell r="J53">
            <v>3995</v>
          </cell>
          <cell r="K53">
            <v>7983</v>
          </cell>
          <cell r="L53">
            <v>11621</v>
          </cell>
          <cell r="M53">
            <v>15495</v>
          </cell>
          <cell r="N53">
            <v>3803</v>
          </cell>
          <cell r="O53">
            <v>7723</v>
          </cell>
          <cell r="P53">
            <v>11522</v>
          </cell>
          <cell r="Q53">
            <v>15585</v>
          </cell>
          <cell r="R53">
            <v>4213</v>
          </cell>
          <cell r="S53">
            <v>8417</v>
          </cell>
          <cell r="T53">
            <v>12624</v>
          </cell>
          <cell r="U53">
            <v>17236</v>
          </cell>
          <cell r="V53">
            <v>4420</v>
          </cell>
          <cell r="W53">
            <v>9025</v>
          </cell>
          <cell r="X53">
            <v>13698</v>
          </cell>
          <cell r="Y53">
            <v>18575</v>
          </cell>
          <cell r="Z53">
            <v>5090.2315749999998</v>
          </cell>
          <cell r="AA53">
            <v>10385.333999999999</v>
          </cell>
          <cell r="AB53">
            <v>15507.1</v>
          </cell>
          <cell r="AC53">
            <v>21153.816707692305</v>
          </cell>
          <cell r="AD53">
            <v>5695.6088749999999</v>
          </cell>
          <cell r="AE53">
            <v>11556.746742857142</v>
          </cell>
          <cell r="AF53">
            <v>17844.099999999999</v>
          </cell>
          <cell r="AG53">
            <v>24691.7</v>
          </cell>
        </row>
        <row r="54">
          <cell r="F54">
            <v>-581</v>
          </cell>
          <cell r="G54">
            <v>-1237</v>
          </cell>
          <cell r="H54">
            <v>-1860</v>
          </cell>
          <cell r="I54">
            <v>-2731</v>
          </cell>
          <cell r="J54">
            <v>-487</v>
          </cell>
          <cell r="K54">
            <v>-157</v>
          </cell>
          <cell r="L54">
            <v>-177</v>
          </cell>
          <cell r="M54">
            <v>-289</v>
          </cell>
          <cell r="N54">
            <v>288</v>
          </cell>
          <cell r="O54">
            <v>559</v>
          </cell>
          <cell r="P54">
            <v>1746</v>
          </cell>
          <cell r="Q54">
            <v>1970</v>
          </cell>
          <cell r="R54">
            <v>-307</v>
          </cell>
          <cell r="S54">
            <v>-399</v>
          </cell>
          <cell r="T54">
            <v>-599</v>
          </cell>
          <cell r="U54">
            <v>-505.22858065384708</v>
          </cell>
          <cell r="V54">
            <v>-55</v>
          </cell>
          <cell r="W54">
            <v>-93</v>
          </cell>
          <cell r="X54">
            <v>-132</v>
          </cell>
          <cell r="Y54">
            <v>-386</v>
          </cell>
          <cell r="Z54">
            <v>-308.67210000000006</v>
          </cell>
          <cell r="AA54">
            <v>-629.67319999999995</v>
          </cell>
          <cell r="AB54">
            <v>-925.1</v>
          </cell>
          <cell r="AC54">
            <v>-1486.9130769230769</v>
          </cell>
          <cell r="AD54">
            <v>-400.23197500000003</v>
          </cell>
          <cell r="AE54">
            <v>-918.00668571428571</v>
          </cell>
          <cell r="AF54">
            <v>-1381.6</v>
          </cell>
          <cell r="AG54">
            <v>-2211.1</v>
          </cell>
        </row>
        <row r="55">
          <cell r="Z55">
            <v>2375.0603249999999</v>
          </cell>
          <cell r="AA55">
            <v>5000.3459999999995</v>
          </cell>
          <cell r="AB55">
            <v>7405.7</v>
          </cell>
          <cell r="AC55">
            <v>10218.633107692307</v>
          </cell>
          <cell r="AD55">
            <v>2600.1084250000004</v>
          </cell>
          <cell r="AE55">
            <v>5353.1616857142853</v>
          </cell>
          <cell r="AF55">
            <v>8086.3</v>
          </cell>
          <cell r="AG55">
            <v>11269.9</v>
          </cell>
        </row>
        <row r="56">
          <cell r="Z56">
            <v>-140.04567500000002</v>
          </cell>
          <cell r="AA56">
            <v>-390.34039999999993</v>
          </cell>
          <cell r="AB56">
            <v>-662</v>
          </cell>
          <cell r="AC56">
            <v>-1047.9196923076922</v>
          </cell>
          <cell r="AD56">
            <v>-254.69307499999999</v>
          </cell>
          <cell r="AE56">
            <v>-588.53802857142853</v>
          </cell>
          <cell r="AF56">
            <v>-953.4</v>
          </cell>
          <cell r="AG56">
            <v>-1446.1</v>
          </cell>
        </row>
        <row r="57">
          <cell r="F57">
            <v>1384</v>
          </cell>
          <cell r="G57">
            <v>3197</v>
          </cell>
          <cell r="H57">
            <v>4802</v>
          </cell>
          <cell r="I57">
            <v>6198</v>
          </cell>
          <cell r="J57">
            <v>1543</v>
          </cell>
          <cell r="K57">
            <v>3296</v>
          </cell>
          <cell r="L57">
            <v>5004</v>
          </cell>
          <cell r="M57">
            <v>6998</v>
          </cell>
          <cell r="N57">
            <v>1878</v>
          </cell>
          <cell r="O57">
            <v>3753</v>
          </cell>
          <cell r="P57">
            <v>5695</v>
          </cell>
          <cell r="Q57">
            <v>8012</v>
          </cell>
          <cell r="R57">
            <v>1998</v>
          </cell>
          <cell r="S57">
            <v>4082</v>
          </cell>
          <cell r="T57">
            <v>6154</v>
          </cell>
          <cell r="U57">
            <v>8394</v>
          </cell>
          <cell r="V57">
            <v>2185</v>
          </cell>
          <cell r="W57">
            <v>4365</v>
          </cell>
          <cell r="X57">
            <v>6526</v>
          </cell>
          <cell r="Y57">
            <v>8565</v>
          </cell>
          <cell r="Z57">
            <v>2235.0146500000001</v>
          </cell>
          <cell r="AA57">
            <v>4610.0055999999995</v>
          </cell>
          <cell r="AB57">
            <v>6743.7</v>
          </cell>
          <cell r="AC57">
            <v>9170.7134153846164</v>
          </cell>
          <cell r="AD57">
            <v>2345.4153499999998</v>
          </cell>
          <cell r="AE57">
            <v>4764.6236571428562</v>
          </cell>
          <cell r="AF57">
            <v>7132.9</v>
          </cell>
          <cell r="AG57">
            <v>9823.7999999999993</v>
          </cell>
        </row>
        <row r="58">
          <cell r="F58">
            <v>128</v>
          </cell>
          <cell r="G58">
            <v>397</v>
          </cell>
          <cell r="H58">
            <v>687</v>
          </cell>
          <cell r="I58">
            <v>833</v>
          </cell>
          <cell r="J58">
            <v>153</v>
          </cell>
          <cell r="K58">
            <v>671</v>
          </cell>
          <cell r="L58">
            <v>933</v>
          </cell>
          <cell r="M58">
            <v>1048</v>
          </cell>
          <cell r="N58">
            <v>313</v>
          </cell>
          <cell r="O58">
            <v>505</v>
          </cell>
          <cell r="P58">
            <v>918</v>
          </cell>
          <cell r="Q58">
            <v>1321</v>
          </cell>
          <cell r="R58">
            <v>378</v>
          </cell>
          <cell r="S58">
            <v>824</v>
          </cell>
          <cell r="T58">
            <v>979</v>
          </cell>
          <cell r="U58">
            <v>1309</v>
          </cell>
          <cell r="V58">
            <v>389</v>
          </cell>
          <cell r="W58">
            <v>651</v>
          </cell>
          <cell r="X58">
            <v>1077</v>
          </cell>
          <cell r="Y58">
            <v>1474</v>
          </cell>
          <cell r="Z58">
            <v>508.73735000000005</v>
          </cell>
          <cell r="AA58">
            <v>755.0379999999999</v>
          </cell>
          <cell r="AB58">
            <v>1099.5</v>
          </cell>
          <cell r="AC58">
            <v>1560.5506769230769</v>
          </cell>
          <cell r="AD58">
            <v>461.80612500000001</v>
          </cell>
          <cell r="AE58">
            <v>701.17688571428562</v>
          </cell>
          <cell r="AF58">
            <v>1175.5999999999999</v>
          </cell>
          <cell r="AG58">
            <v>1733</v>
          </cell>
        </row>
        <row r="59">
          <cell r="F59">
            <v>-3760</v>
          </cell>
          <cell r="G59">
            <v>-7726</v>
          </cell>
          <cell r="H59">
            <v>-11485</v>
          </cell>
          <cell r="I59">
            <v>-15224</v>
          </cell>
          <cell r="J59">
            <v>-3474</v>
          </cell>
          <cell r="K59">
            <v>-7223</v>
          </cell>
          <cell r="L59">
            <v>-10712</v>
          </cell>
          <cell r="M59">
            <v>-14232</v>
          </cell>
          <cell r="N59">
            <v>-3737</v>
          </cell>
          <cell r="O59">
            <v>-7504</v>
          </cell>
          <cell r="P59">
            <v>-11294</v>
          </cell>
          <cell r="Q59">
            <v>-15104</v>
          </cell>
          <cell r="R59">
            <v>-3897</v>
          </cell>
          <cell r="S59">
            <v>-7831</v>
          </cell>
          <cell r="T59">
            <v>-11597</v>
          </cell>
          <cell r="U59">
            <v>-15890</v>
          </cell>
          <cell r="V59">
            <v>-4099</v>
          </cell>
          <cell r="W59">
            <v>-8064</v>
          </cell>
          <cell r="X59">
            <v>-12263</v>
          </cell>
          <cell r="Y59">
            <v>-16418</v>
          </cell>
          <cell r="Z59">
            <v>-4144.2087500000007</v>
          </cell>
          <cell r="AA59">
            <v>-8388.0447999999978</v>
          </cell>
          <cell r="AB59">
            <v>-12627.7</v>
          </cell>
          <cell r="AC59">
            <v>-17338.822584615387</v>
          </cell>
          <cell r="AD59">
            <v>-4402.5517250000003</v>
          </cell>
          <cell r="AE59">
            <v>-9073.0599428571422</v>
          </cell>
          <cell r="AF59">
            <v>-13600.3</v>
          </cell>
          <cell r="AG59">
            <v>-18371.400000000001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23</v>
          </cell>
          <cell r="K60">
            <v>54</v>
          </cell>
          <cell r="L60">
            <v>-45</v>
          </cell>
          <cell r="M60">
            <v>72</v>
          </cell>
          <cell r="N60">
            <v>57</v>
          </cell>
          <cell r="O60">
            <v>117</v>
          </cell>
          <cell r="P60">
            <v>167</v>
          </cell>
          <cell r="Q60">
            <v>327</v>
          </cell>
          <cell r="R60">
            <v>69</v>
          </cell>
          <cell r="S60">
            <v>109</v>
          </cell>
          <cell r="T60">
            <v>210</v>
          </cell>
          <cell r="U60">
            <v>268</v>
          </cell>
          <cell r="V60">
            <v>55</v>
          </cell>
          <cell r="W60">
            <v>115</v>
          </cell>
          <cell r="X60">
            <v>180</v>
          </cell>
          <cell r="Y60">
            <v>235</v>
          </cell>
          <cell r="Z60">
            <v>71.451875000000001</v>
          </cell>
          <cell r="AA60">
            <v>128.214</v>
          </cell>
          <cell r="AB60">
            <v>273.3</v>
          </cell>
          <cell r="AC60">
            <v>410.67123076923076</v>
          </cell>
          <cell r="AD60">
            <v>100.7577</v>
          </cell>
          <cell r="AE60">
            <v>160.51037142857143</v>
          </cell>
          <cell r="AF60">
            <v>362.5</v>
          </cell>
          <cell r="AG60">
            <v>491.7</v>
          </cell>
        </row>
        <row r="61">
          <cell r="Z61">
            <v>-228.64600000000002</v>
          </cell>
          <cell r="AA61">
            <v>-361.84839999999997</v>
          </cell>
          <cell r="AB61">
            <v>-529.20000000000005</v>
          </cell>
          <cell r="AC61">
            <v>-152.93963076923077</v>
          </cell>
          <cell r="AD61">
            <v>-148.33772500000001</v>
          </cell>
          <cell r="AE61">
            <v>-459.00334285714285</v>
          </cell>
          <cell r="AF61">
            <v>-721.8</v>
          </cell>
          <cell r="AG61">
            <v>-864.3</v>
          </cell>
        </row>
        <row r="62">
          <cell r="Z62">
            <v>-197.20717500000003</v>
          </cell>
          <cell r="AA62">
            <v>-378.9436</v>
          </cell>
          <cell r="AB62">
            <v>-164.3</v>
          </cell>
          <cell r="AC62">
            <v>-14.161076923076923</v>
          </cell>
          <cell r="AD62">
            <v>-109.154175</v>
          </cell>
          <cell r="AE62">
            <v>-104.19094285714286</v>
          </cell>
          <cell r="AF62">
            <v>-321.10000000000002</v>
          </cell>
          <cell r="AG62">
            <v>-312.60000000000002</v>
          </cell>
        </row>
        <row r="63">
          <cell r="Z63">
            <v>277.23327499999999</v>
          </cell>
          <cell r="AA63">
            <v>393.18959999999998</v>
          </cell>
          <cell r="AB63">
            <v>540.5</v>
          </cell>
          <cell r="AC63">
            <v>778.85923076923075</v>
          </cell>
          <cell r="AD63">
            <v>167.92950000000002</v>
          </cell>
          <cell r="AE63">
            <v>295.67699999999996</v>
          </cell>
          <cell r="AF63">
            <v>462.8</v>
          </cell>
          <cell r="AG63">
            <v>595.6</v>
          </cell>
        </row>
        <row r="64">
          <cell r="Z64">
            <v>0</v>
          </cell>
          <cell r="AA64">
            <v>0</v>
          </cell>
          <cell r="AB64">
            <v>0</v>
          </cell>
          <cell r="AC64">
            <v>-22.657723076923077</v>
          </cell>
          <cell r="AD64">
            <v>11.195300000000001</v>
          </cell>
          <cell r="AE64">
            <v>11.263885714285713</v>
          </cell>
          <cell r="AF64">
            <v>12</v>
          </cell>
          <cell r="AG64">
            <v>12</v>
          </cell>
        </row>
        <row r="65">
          <cell r="F65">
            <v>490</v>
          </cell>
          <cell r="G65">
            <v>1533.7</v>
          </cell>
          <cell r="H65">
            <v>1687</v>
          </cell>
          <cell r="I65">
            <v>2896</v>
          </cell>
          <cell r="J65">
            <v>1481</v>
          </cell>
          <cell r="K65">
            <v>4185</v>
          </cell>
          <cell r="L65">
            <v>6598</v>
          </cell>
          <cell r="M65">
            <v>8909</v>
          </cell>
          <cell r="N65">
            <v>2614</v>
          </cell>
          <cell r="O65">
            <v>5000</v>
          </cell>
          <cell r="P65">
            <v>8278</v>
          </cell>
          <cell r="Q65">
            <v>10941</v>
          </cell>
          <cell r="R65">
            <v>5117</v>
          </cell>
          <cell r="S65">
            <v>7723</v>
          </cell>
          <cell r="T65">
            <v>10276</v>
          </cell>
          <cell r="U65">
            <v>13172.771419346154</v>
          </cell>
          <cell r="V65">
            <v>3158</v>
          </cell>
          <cell r="W65">
            <v>6666</v>
          </cell>
          <cell r="X65">
            <v>9876</v>
          </cell>
          <cell r="Y65">
            <v>12311</v>
          </cell>
          <cell r="Z65">
            <v>3303.9347000000002</v>
          </cell>
          <cell r="AA65">
            <v>6513.2711999999992</v>
          </cell>
          <cell r="AB65">
            <v>9917.7999999999993</v>
          </cell>
          <cell r="AC65">
            <v>14059.117169230769</v>
          </cell>
          <cell r="AD65">
            <v>3722.4372499999999</v>
          </cell>
          <cell r="AE65">
            <v>6935.7376285714281</v>
          </cell>
          <cell r="AF65">
            <v>10965.1</v>
          </cell>
          <cell r="AG65">
            <v>15588.400000000001</v>
          </cell>
        </row>
        <row r="66">
          <cell r="F66">
            <v>-111</v>
          </cell>
          <cell r="G66">
            <v>-312</v>
          </cell>
          <cell r="H66">
            <v>-410</v>
          </cell>
          <cell r="I66">
            <v>-975</v>
          </cell>
          <cell r="J66">
            <v>-508</v>
          </cell>
          <cell r="K66">
            <v>-1121</v>
          </cell>
          <cell r="L66">
            <v>-1600</v>
          </cell>
          <cell r="M66">
            <v>-2917</v>
          </cell>
          <cell r="N66">
            <v>-757</v>
          </cell>
          <cell r="O66">
            <v>-1532</v>
          </cell>
          <cell r="P66">
            <v>-2517</v>
          </cell>
          <cell r="Q66">
            <v>-3149</v>
          </cell>
          <cell r="R66">
            <v>-1509</v>
          </cell>
          <cell r="S66">
            <v>-2213</v>
          </cell>
          <cell r="T66">
            <v>-2947</v>
          </cell>
          <cell r="U66">
            <v>-3950</v>
          </cell>
          <cell r="V66">
            <v>-827</v>
          </cell>
          <cell r="W66">
            <v>-1783</v>
          </cell>
          <cell r="X66">
            <v>-2593</v>
          </cell>
          <cell r="Y66">
            <v>-3065</v>
          </cell>
          <cell r="Z66">
            <v>-763.10602500000005</v>
          </cell>
          <cell r="AA66">
            <v>-1564.2107999999998</v>
          </cell>
          <cell r="AB66">
            <v>-2433.8000000000002</v>
          </cell>
          <cell r="AC66">
            <v>-3497.7860000000001</v>
          </cell>
          <cell r="AD66">
            <v>-912.41695000000004</v>
          </cell>
          <cell r="AE66">
            <v>-1633.2634285714284</v>
          </cell>
          <cell r="AF66">
            <v>-2683.6</v>
          </cell>
          <cell r="AG66">
            <v>-3212.7</v>
          </cell>
        </row>
        <row r="67">
          <cell r="F67">
            <v>379</v>
          </cell>
          <cell r="G67">
            <v>1221.7</v>
          </cell>
          <cell r="H67">
            <v>1277</v>
          </cell>
          <cell r="I67">
            <v>1921</v>
          </cell>
          <cell r="J67">
            <v>973</v>
          </cell>
          <cell r="K67">
            <v>3064</v>
          </cell>
          <cell r="L67">
            <v>4998</v>
          </cell>
          <cell r="M67">
            <v>5992</v>
          </cell>
          <cell r="N67">
            <v>1857</v>
          </cell>
          <cell r="O67">
            <v>3468</v>
          </cell>
          <cell r="P67">
            <v>5761</v>
          </cell>
          <cell r="Q67">
            <v>7792</v>
          </cell>
          <cell r="R67">
            <v>3608</v>
          </cell>
          <cell r="S67">
            <v>5510</v>
          </cell>
          <cell r="T67">
            <v>7329</v>
          </cell>
          <cell r="U67">
            <v>9222.7714193461543</v>
          </cell>
          <cell r="V67">
            <v>2331</v>
          </cell>
          <cell r="W67">
            <v>4883</v>
          </cell>
          <cell r="X67">
            <v>7283</v>
          </cell>
          <cell r="Y67">
            <v>9246</v>
          </cell>
          <cell r="Z67">
            <v>2540.8286749999988</v>
          </cell>
          <cell r="AA67">
            <v>4949.0603999999994</v>
          </cell>
          <cell r="AB67">
            <v>7484</v>
          </cell>
          <cell r="AC67">
            <v>10561.331169230769</v>
          </cell>
          <cell r="AD67">
            <v>2810.0203000000001</v>
          </cell>
          <cell r="AE67">
            <v>5302.4741999999997</v>
          </cell>
          <cell r="AF67">
            <v>8281.5</v>
          </cell>
          <cell r="AG67">
            <v>12375.7</v>
          </cell>
        </row>
        <row r="68">
          <cell r="F68">
            <v>-33</v>
          </cell>
          <cell r="G68">
            <v>-57</v>
          </cell>
          <cell r="H68">
            <v>-96</v>
          </cell>
          <cell r="I68">
            <v>-123</v>
          </cell>
          <cell r="J68">
            <v>-30</v>
          </cell>
          <cell r="K68">
            <v>-69</v>
          </cell>
          <cell r="L68">
            <v>-109</v>
          </cell>
          <cell r="M68">
            <v>-187</v>
          </cell>
          <cell r="N68">
            <v>-42</v>
          </cell>
          <cell r="O68">
            <v>-83</v>
          </cell>
          <cell r="P68">
            <v>-122</v>
          </cell>
          <cell r="Q68">
            <v>-177</v>
          </cell>
          <cell r="R68">
            <v>-974</v>
          </cell>
          <cell r="S68">
            <v>-1018</v>
          </cell>
          <cell r="T68">
            <v>-1088</v>
          </cell>
          <cell r="U68">
            <v>-1086</v>
          </cell>
          <cell r="V68">
            <v>-23</v>
          </cell>
          <cell r="W68">
            <v>-46</v>
          </cell>
          <cell r="X68">
            <v>-75</v>
          </cell>
          <cell r="Y68">
            <v>-112</v>
          </cell>
          <cell r="Z68">
            <v>-34.296900000000001</v>
          </cell>
          <cell r="AA68">
            <v>-74.0792</v>
          </cell>
          <cell r="AB68">
            <v>-136.5</v>
          </cell>
          <cell r="AC68">
            <v>-172.76513846153844</v>
          </cell>
          <cell r="AD68">
            <v>-86.763575000000003</v>
          </cell>
          <cell r="AE68">
            <v>-76.031228571428571</v>
          </cell>
          <cell r="AF68">
            <v>-162.1</v>
          </cell>
          <cell r="AG68">
            <v>-228</v>
          </cell>
        </row>
        <row r="69">
          <cell r="F69">
            <v>346</v>
          </cell>
          <cell r="G69">
            <v>1164.7</v>
          </cell>
          <cell r="H69">
            <v>1181</v>
          </cell>
          <cell r="I69">
            <v>1798</v>
          </cell>
          <cell r="J69">
            <v>943</v>
          </cell>
          <cell r="K69">
            <v>2995</v>
          </cell>
          <cell r="L69">
            <v>4889</v>
          </cell>
          <cell r="M69">
            <v>5805</v>
          </cell>
          <cell r="N69">
            <v>1815</v>
          </cell>
          <cell r="O69">
            <v>3385</v>
          </cell>
          <cell r="P69">
            <v>5639</v>
          </cell>
          <cell r="Q69">
            <v>7615</v>
          </cell>
          <cell r="R69">
            <v>2634</v>
          </cell>
          <cell r="S69">
            <v>4492</v>
          </cell>
          <cell r="T69">
            <v>6241</v>
          </cell>
          <cell r="U69">
            <v>8136.7714193461543</v>
          </cell>
          <cell r="V69">
            <v>2308</v>
          </cell>
          <cell r="W69">
            <v>4837</v>
          </cell>
          <cell r="X69">
            <v>7208</v>
          </cell>
          <cell r="Y69">
            <v>9134</v>
          </cell>
          <cell r="Z69">
            <v>2506.5317749999986</v>
          </cell>
          <cell r="AA69">
            <v>4874.9811999999993</v>
          </cell>
          <cell r="AB69">
            <v>7347.5</v>
          </cell>
          <cell r="AC69">
            <v>10388.566030769231</v>
          </cell>
          <cell r="AD69">
            <v>2723.2567250000002</v>
          </cell>
          <cell r="AE69">
            <v>5226.4429714285707</v>
          </cell>
          <cell r="AF69">
            <v>8119.4</v>
          </cell>
          <cell r="AG69">
            <v>12147.7</v>
          </cell>
        </row>
        <row r="71">
          <cell r="F71">
            <v>4937</v>
          </cell>
          <cell r="G71">
            <v>10496.7</v>
          </cell>
          <cell r="H71">
            <v>16283</v>
          </cell>
          <cell r="I71">
            <v>22187</v>
          </cell>
          <cell r="J71">
            <v>5714</v>
          </cell>
          <cell r="K71">
            <v>12004</v>
          </cell>
          <cell r="L71">
            <v>17513</v>
          </cell>
          <cell r="M71">
            <v>23613</v>
          </cell>
          <cell r="N71">
            <v>6051</v>
          </cell>
          <cell r="O71">
            <v>12098</v>
          </cell>
          <cell r="P71">
            <v>18302</v>
          </cell>
          <cell r="Q71">
            <v>25245</v>
          </cell>
          <cell r="R71">
            <v>6658</v>
          </cell>
          <cell r="S71">
            <v>13432</v>
          </cell>
          <cell r="T71">
            <v>19967</v>
          </cell>
          <cell r="U71">
            <v>27207</v>
          </cell>
          <cell r="V71">
            <v>7049</v>
          </cell>
          <cell r="W71">
            <v>14156</v>
          </cell>
          <cell r="X71">
            <v>21481</v>
          </cell>
          <cell r="Y71">
            <v>28849</v>
          </cell>
          <cell r="Z71">
            <v>7905.4354500000009</v>
          </cell>
          <cell r="AA71">
            <v>15878.591599999998</v>
          </cell>
          <cell r="AB71">
            <v>23623.599999999999</v>
          </cell>
          <cell r="AC71">
            <v>32295.752030769228</v>
          </cell>
          <cell r="AD71">
            <v>8603.5880500000003</v>
          </cell>
          <cell r="AE71">
            <v>17183.057657142854</v>
          </cell>
          <cell r="AF71">
            <v>26515.1</v>
          </cell>
          <cell r="AG71">
            <v>36740.199999999997</v>
          </cell>
        </row>
        <row r="72">
          <cell r="F72">
            <v>-3760</v>
          </cell>
          <cell r="G72">
            <v>-7726</v>
          </cell>
          <cell r="H72">
            <v>-11485</v>
          </cell>
          <cell r="I72">
            <v>-15224</v>
          </cell>
          <cell r="J72">
            <v>-3474</v>
          </cell>
          <cell r="K72">
            <v>-7223</v>
          </cell>
          <cell r="L72">
            <v>-10712</v>
          </cell>
          <cell r="M72">
            <v>-14232</v>
          </cell>
          <cell r="N72">
            <v>-3737</v>
          </cell>
          <cell r="O72">
            <v>-7504</v>
          </cell>
          <cell r="P72">
            <v>-11294</v>
          </cell>
          <cell r="Q72">
            <v>-15104</v>
          </cell>
          <cell r="R72">
            <v>-3897</v>
          </cell>
          <cell r="S72">
            <v>-7831</v>
          </cell>
          <cell r="T72">
            <v>-11597</v>
          </cell>
          <cell r="U72">
            <v>-15890</v>
          </cell>
          <cell r="V72">
            <v>-4099</v>
          </cell>
          <cell r="W72">
            <v>-8064</v>
          </cell>
          <cell r="X72">
            <v>-12263</v>
          </cell>
          <cell r="Y72">
            <v>-16418</v>
          </cell>
          <cell r="Z72">
            <v>-4144.2087500000007</v>
          </cell>
          <cell r="AA72">
            <v>-8388.0447999999978</v>
          </cell>
          <cell r="AB72">
            <v>-12627.7</v>
          </cell>
          <cell r="AC72">
            <v>-17338.822584615387</v>
          </cell>
          <cell r="AD72">
            <v>-4402.5517250000003</v>
          </cell>
          <cell r="AE72">
            <v>-9073.0599428571422</v>
          </cell>
          <cell r="AF72">
            <v>-13600.3</v>
          </cell>
          <cell r="AG72">
            <v>-18371.400000000001</v>
          </cell>
        </row>
        <row r="73">
          <cell r="F73">
            <v>1177</v>
          </cell>
          <cell r="G73">
            <v>2770.7</v>
          </cell>
          <cell r="H73">
            <v>4798</v>
          </cell>
          <cell r="I73">
            <v>6963</v>
          </cell>
          <cell r="J73">
            <v>2240</v>
          </cell>
          <cell r="K73">
            <v>4781</v>
          </cell>
          <cell r="L73">
            <v>6801</v>
          </cell>
          <cell r="M73">
            <v>9381</v>
          </cell>
          <cell r="N73">
            <v>2314</v>
          </cell>
          <cell r="O73">
            <v>4594</v>
          </cell>
          <cell r="P73">
            <v>7008</v>
          </cell>
          <cell r="Q73">
            <v>10141</v>
          </cell>
          <cell r="R73">
            <v>2761</v>
          </cell>
          <cell r="S73">
            <v>5601</v>
          </cell>
          <cell r="T73">
            <v>8370</v>
          </cell>
          <cell r="U73">
            <v>11317</v>
          </cell>
          <cell r="V73">
            <v>2950</v>
          </cell>
          <cell r="W73">
            <v>6092</v>
          </cell>
          <cell r="X73">
            <v>9218</v>
          </cell>
          <cell r="Y73">
            <v>12431</v>
          </cell>
          <cell r="Z73">
            <v>3761.2267000000011</v>
          </cell>
          <cell r="AA73">
            <v>7490.5467999999983</v>
          </cell>
          <cell r="AB73">
            <v>10995.899999999998</v>
          </cell>
          <cell r="AC73">
            <v>14956.929446153843</v>
          </cell>
          <cell r="AD73">
            <v>4201.0363250000009</v>
          </cell>
          <cell r="AE73">
            <v>8109.9977142857124</v>
          </cell>
          <cell r="AF73">
            <v>12914.8</v>
          </cell>
          <cell r="AG73">
            <v>18368.799999999996</v>
          </cell>
        </row>
        <row r="77">
          <cell r="Z77">
            <v>1051.7716</v>
          </cell>
          <cell r="AA77">
            <v>2153.9951999999998</v>
          </cell>
          <cell r="AB77">
            <v>2899.3</v>
          </cell>
          <cell r="AC77">
            <v>4016.0814153846159</v>
          </cell>
          <cell r="AD77">
            <v>1041.1629</v>
          </cell>
          <cell r="AE77">
            <v>2449.8951428571427</v>
          </cell>
          <cell r="AF77">
            <v>3402.9</v>
          </cell>
          <cell r="AG77">
            <v>4589.8</v>
          </cell>
        </row>
        <row r="78">
          <cell r="Z78">
            <v>4109.9118500000004</v>
          </cell>
          <cell r="AA78">
            <v>8351.0051999999996</v>
          </cell>
          <cell r="AB78">
            <v>12779.6</v>
          </cell>
          <cell r="AC78">
            <v>17562.567600000002</v>
          </cell>
          <cell r="AD78">
            <v>4881.1508000000003</v>
          </cell>
          <cell r="AE78">
            <v>10109.337428571427</v>
          </cell>
          <cell r="AF78">
            <v>15850.4</v>
          </cell>
          <cell r="AG78">
            <v>22352.9</v>
          </cell>
        </row>
        <row r="79">
          <cell r="Z79">
            <v>1594.80585</v>
          </cell>
          <cell r="AA79">
            <v>3327.8655999999996</v>
          </cell>
          <cell r="AB79">
            <v>5159.7</v>
          </cell>
          <cell r="AC79">
            <v>7046.5518769230775</v>
          </cell>
          <cell r="AD79">
            <v>1878.011575</v>
          </cell>
          <cell r="AE79">
            <v>3733.9781142857137</v>
          </cell>
          <cell r="AF79">
            <v>5705.6</v>
          </cell>
          <cell r="AG79">
            <v>7667.7000000000007</v>
          </cell>
        </row>
        <row r="80">
          <cell r="Z80">
            <v>-28.580750000000002</v>
          </cell>
          <cell r="AA80">
            <v>0</v>
          </cell>
          <cell r="AB80">
            <v>0.4</v>
          </cell>
          <cell r="AC80">
            <v>0</v>
          </cell>
          <cell r="AD80">
            <v>0</v>
          </cell>
          <cell r="AE80">
            <v>0</v>
          </cell>
          <cell r="AF80">
            <v>0.5</v>
          </cell>
          <cell r="AG80">
            <v>0.7</v>
          </cell>
        </row>
        <row r="81"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</row>
        <row r="82">
          <cell r="Z82">
            <v>111.46492500000001</v>
          </cell>
          <cell r="AA82">
            <v>216.53919999999997</v>
          </cell>
          <cell r="AB82">
            <v>245.1</v>
          </cell>
          <cell r="AC82">
            <v>373.85243076923075</v>
          </cell>
          <cell r="AD82">
            <v>179.12480000000002</v>
          </cell>
          <cell r="AE82">
            <v>191.48605714285713</v>
          </cell>
          <cell r="AF82">
            <v>203.7</v>
          </cell>
          <cell r="AG82">
            <v>336.6</v>
          </cell>
        </row>
        <row r="83">
          <cell r="Z83">
            <v>0</v>
          </cell>
          <cell r="AA83">
            <v>2.8491999999999997</v>
          </cell>
          <cell r="AB83">
            <v>21.5</v>
          </cell>
          <cell r="AC83">
            <v>25.489938461538461</v>
          </cell>
          <cell r="AD83">
            <v>0</v>
          </cell>
          <cell r="AE83">
            <v>92.927057142857137</v>
          </cell>
          <cell r="AF83">
            <v>115.7</v>
          </cell>
          <cell r="AG83">
            <v>123.3</v>
          </cell>
        </row>
        <row r="84">
          <cell r="Z84">
            <v>125.75530000000002</v>
          </cell>
          <cell r="AA84">
            <v>253.57879999999997</v>
          </cell>
          <cell r="AB84">
            <v>389.3</v>
          </cell>
          <cell r="AC84">
            <v>543.78535384615384</v>
          </cell>
          <cell r="AD84">
            <v>153.93537499999999</v>
          </cell>
          <cell r="AE84">
            <v>354.81239999999997</v>
          </cell>
          <cell r="AF84">
            <v>555.20000000000005</v>
          </cell>
          <cell r="AG84">
            <v>745.4</v>
          </cell>
        </row>
        <row r="85">
          <cell r="Z85">
            <v>6965.1287750000001</v>
          </cell>
          <cell r="AA85">
            <v>14305.833199999999</v>
          </cell>
          <cell r="AB85">
            <v>21494.9</v>
          </cell>
          <cell r="AC85">
            <v>29568.328615384617</v>
          </cell>
          <cell r="AD85">
            <v>8133.3854500000007</v>
          </cell>
          <cell r="AE85">
            <v>16932.436199999996</v>
          </cell>
          <cell r="AF85">
            <v>25834</v>
          </cell>
          <cell r="AG85">
            <v>35816.400000000001</v>
          </cell>
        </row>
        <row r="86">
          <cell r="Z86">
            <v>2855.2169249999997</v>
          </cell>
          <cell r="AA86">
            <v>5954.8279999999986</v>
          </cell>
          <cell r="AB86">
            <v>8715.2999999999993</v>
          </cell>
          <cell r="AC86">
            <v>12005.761015384614</v>
          </cell>
          <cell r="AD86">
            <v>3252.2346500000003</v>
          </cell>
          <cell r="AE86">
            <v>6823.0987714285711</v>
          </cell>
          <cell r="AF86">
            <v>9983.6</v>
          </cell>
          <cell r="AG86">
            <v>13463.5</v>
          </cell>
        </row>
        <row r="89">
          <cell r="Z89">
            <v>-382.98205000000002</v>
          </cell>
          <cell r="AA89">
            <v>-820.56959999999992</v>
          </cell>
          <cell r="AB89">
            <v>-1206.9000000000001</v>
          </cell>
          <cell r="AC89">
            <v>-1872.094369230769</v>
          </cell>
          <cell r="AD89">
            <v>-722.09685000000002</v>
          </cell>
          <cell r="AE89">
            <v>-1813.4856</v>
          </cell>
          <cell r="AF89">
            <v>-2353.6999999999998</v>
          </cell>
          <cell r="AG89">
            <v>-3259.1</v>
          </cell>
        </row>
        <row r="90">
          <cell r="Z90">
            <v>-1300.424125</v>
          </cell>
          <cell r="AA90">
            <v>-2664.002</v>
          </cell>
          <cell r="AB90">
            <v>-4104.8999999999996</v>
          </cell>
          <cell r="AC90">
            <v>-5502.9944923076928</v>
          </cell>
          <cell r="AD90">
            <v>-1424.6019249999999</v>
          </cell>
          <cell r="AE90">
            <v>-2942.6901428571427</v>
          </cell>
          <cell r="AF90">
            <v>-4650.6000000000004</v>
          </cell>
          <cell r="AG90">
            <v>-6427.8</v>
          </cell>
        </row>
        <row r="91">
          <cell r="Z91">
            <v>-168.62642500000001</v>
          </cell>
          <cell r="AA91">
            <v>-393.18959999999998</v>
          </cell>
          <cell r="AB91">
            <v>-654.9</v>
          </cell>
          <cell r="AC91">
            <v>-931.79886153846144</v>
          </cell>
          <cell r="AD91">
            <v>-243.49777499999999</v>
          </cell>
          <cell r="AE91">
            <v>-523.77068571428572</v>
          </cell>
          <cell r="AF91">
            <v>-830.6</v>
          </cell>
          <cell r="AG91">
            <v>-1237.2</v>
          </cell>
        </row>
        <row r="92">
          <cell r="Z92">
            <v>-22.864600000000003</v>
          </cell>
          <cell r="AA92">
            <v>-42.738</v>
          </cell>
          <cell r="AB92">
            <v>-61.8</v>
          </cell>
          <cell r="AC92">
            <v>-107.62418461538461</v>
          </cell>
          <cell r="AD92">
            <v>-47.580024999999999</v>
          </cell>
          <cell r="AE92">
            <v>-95.743028571428567</v>
          </cell>
          <cell r="AF92">
            <v>-141.5</v>
          </cell>
          <cell r="AG92">
            <v>-197.3</v>
          </cell>
        </row>
        <row r="93">
          <cell r="Z93">
            <v>0</v>
          </cell>
          <cell r="AA93">
            <v>0</v>
          </cell>
          <cell r="AB93">
            <v>40.700000000000003</v>
          </cell>
          <cell r="AC93">
            <v>0</v>
          </cell>
          <cell r="AD93">
            <v>0</v>
          </cell>
          <cell r="AE93">
            <v>0</v>
          </cell>
          <cell r="AF93">
            <v>-7.7</v>
          </cell>
          <cell r="AG93">
            <v>-2.8</v>
          </cell>
        </row>
        <row r="94">
          <cell r="Z94">
            <v>-1874.8971999999999</v>
          </cell>
          <cell r="AA94">
            <v>-3920.4991999999993</v>
          </cell>
          <cell r="AB94">
            <v>-5987.8</v>
          </cell>
          <cell r="AC94">
            <v>-8414.5119076923074</v>
          </cell>
          <cell r="AD94">
            <v>-2437.7765749999999</v>
          </cell>
          <cell r="AE94">
            <v>-5375.6894571428566</v>
          </cell>
          <cell r="AF94">
            <v>-7984.1</v>
          </cell>
          <cell r="AG94">
            <v>-11124.199999999999</v>
          </cell>
        </row>
        <row r="95"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-5.8</v>
          </cell>
          <cell r="AG95">
            <v>-0.5</v>
          </cell>
        </row>
        <row r="96">
          <cell r="Z96">
            <v>5090.2315749999998</v>
          </cell>
          <cell r="AA96">
            <v>10385.333999999999</v>
          </cell>
          <cell r="AB96">
            <v>15507.1</v>
          </cell>
          <cell r="AC96">
            <v>21153.816707692305</v>
          </cell>
          <cell r="AD96">
            <v>5695.6088749999999</v>
          </cell>
          <cell r="AE96">
            <v>11556.746742857142</v>
          </cell>
          <cell r="AF96">
            <v>17844.099999999999</v>
          </cell>
          <cell r="AG96">
            <v>24691.700000000004</v>
          </cell>
        </row>
        <row r="99">
          <cell r="Z99">
            <v>-331.5367</v>
          </cell>
          <cell r="AA99">
            <v>-675.26039999999989</v>
          </cell>
          <cell r="AB99">
            <v>-988.3</v>
          </cell>
          <cell r="AC99">
            <v>-1577.5439692307693</v>
          </cell>
          <cell r="AD99">
            <v>-425.42140000000001</v>
          </cell>
          <cell r="AE99">
            <v>-968.69417142857128</v>
          </cell>
          <cell r="AF99">
            <v>-1450.8</v>
          </cell>
          <cell r="AG99">
            <v>-2290.1999999999998</v>
          </cell>
        </row>
        <row r="100">
          <cell r="Z100">
            <v>22.864600000000003</v>
          </cell>
          <cell r="AA100">
            <v>45.587199999999996</v>
          </cell>
          <cell r="AB100">
            <v>63.2</v>
          </cell>
          <cell r="AC100">
            <v>90.630892307692307</v>
          </cell>
          <cell r="AD100">
            <v>25.189425</v>
          </cell>
          <cell r="AE100">
            <v>50.687485714285714</v>
          </cell>
          <cell r="AF100">
            <v>69.2</v>
          </cell>
          <cell r="AG100">
            <v>79.099999999999994</v>
          </cell>
        </row>
        <row r="101">
          <cell r="Z101">
            <v>-308.67210000000006</v>
          </cell>
          <cell r="AA101">
            <v>-629.67319999999995</v>
          </cell>
          <cell r="AB101">
            <v>-925.1</v>
          </cell>
          <cell r="AC101">
            <v>-1486.9130769230769</v>
          </cell>
          <cell r="AD101">
            <v>-400.23197500000003</v>
          </cell>
          <cell r="AE101">
            <v>-918.00668571428571</v>
          </cell>
          <cell r="AF101">
            <v>-1381.6</v>
          </cell>
          <cell r="AG101">
            <v>-2211.1</v>
          </cell>
        </row>
        <row r="104">
          <cell r="Q104">
            <v>1451</v>
          </cell>
          <cell r="U104">
            <v>1715</v>
          </cell>
          <cell r="Y104">
            <v>1486</v>
          </cell>
          <cell r="Z104">
            <v>465.86622500000004</v>
          </cell>
          <cell r="AA104">
            <v>860.45839999999987</v>
          </cell>
          <cell r="AB104">
            <v>1270.3</v>
          </cell>
          <cell r="AC104">
            <v>1696.4970153846152</v>
          </cell>
          <cell r="AD104">
            <v>447.81200000000001</v>
          </cell>
          <cell r="AE104">
            <v>901.11085714285707</v>
          </cell>
          <cell r="AF104">
            <v>1349.6</v>
          </cell>
          <cell r="AG104">
            <v>1840.8</v>
          </cell>
        </row>
        <row r="105">
          <cell r="Q105">
            <v>4749</v>
          </cell>
          <cell r="U105">
            <v>5040</v>
          </cell>
          <cell r="Y105">
            <v>5378</v>
          </cell>
          <cell r="Z105">
            <v>1314.7145</v>
          </cell>
          <cell r="AA105">
            <v>2675.3987999999999</v>
          </cell>
          <cell r="AB105">
            <v>4008.4</v>
          </cell>
          <cell r="AC105">
            <v>5412.3635999999997</v>
          </cell>
          <cell r="AD105">
            <v>1365.8265999999999</v>
          </cell>
          <cell r="AE105">
            <v>2768.099914285714</v>
          </cell>
          <cell r="AF105">
            <v>4143.2</v>
          </cell>
          <cell r="AG105">
            <v>5545.7999999999993</v>
          </cell>
        </row>
        <row r="106">
          <cell r="Q106">
            <v>541</v>
          </cell>
          <cell r="U106">
            <v>626</v>
          </cell>
          <cell r="Y106">
            <v>801</v>
          </cell>
          <cell r="Z106">
            <v>240.07830000000001</v>
          </cell>
          <cell r="AA106">
            <v>564.14159999999993</v>
          </cell>
          <cell r="AB106">
            <v>789.2</v>
          </cell>
          <cell r="AC106">
            <v>1161.2083076923077</v>
          </cell>
          <cell r="AD106">
            <v>307.87074999999999</v>
          </cell>
          <cell r="AE106">
            <v>591.35399999999993</v>
          </cell>
          <cell r="AF106">
            <v>916.2</v>
          </cell>
          <cell r="AG106">
            <v>1313.3999999999999</v>
          </cell>
        </row>
        <row r="107">
          <cell r="Z107">
            <v>154.33605000000003</v>
          </cell>
          <cell r="AA107">
            <v>324.80879999999996</v>
          </cell>
          <cell r="AB107">
            <v>474.5</v>
          </cell>
          <cell r="AC107">
            <v>682.56390769230768</v>
          </cell>
          <cell r="AD107">
            <v>162.33185</v>
          </cell>
          <cell r="AE107">
            <v>340.73254285714285</v>
          </cell>
          <cell r="AF107">
            <v>521.70000000000005</v>
          </cell>
          <cell r="AG107">
            <v>738.4</v>
          </cell>
        </row>
        <row r="108">
          <cell r="Z108">
            <v>14.290375000000001</v>
          </cell>
          <cell r="AA108">
            <v>37.0396</v>
          </cell>
          <cell r="AB108">
            <v>60</v>
          </cell>
          <cell r="AC108">
            <v>90.630892307692307</v>
          </cell>
          <cell r="AD108">
            <v>16.792950000000001</v>
          </cell>
          <cell r="AE108">
            <v>36.60762857142857</v>
          </cell>
          <cell r="AF108">
            <v>61.4</v>
          </cell>
          <cell r="AG108">
            <v>98.9</v>
          </cell>
        </row>
        <row r="109">
          <cell r="Z109">
            <v>71.451875000000001</v>
          </cell>
          <cell r="AA109">
            <v>202.29319999999998</v>
          </cell>
          <cell r="AB109">
            <v>254.7</v>
          </cell>
          <cell r="AC109">
            <v>388.01350769230766</v>
          </cell>
          <cell r="AD109">
            <v>128.74594999999999</v>
          </cell>
          <cell r="AE109">
            <v>214.01382857142855</v>
          </cell>
          <cell r="AF109">
            <v>333.1</v>
          </cell>
          <cell r="AG109">
            <v>476.09999999999997</v>
          </cell>
        </row>
        <row r="110">
          <cell r="Z110">
            <v>28.580750000000002</v>
          </cell>
          <cell r="AA110">
            <v>51.285599999999995</v>
          </cell>
          <cell r="AB110">
            <v>75.7</v>
          </cell>
          <cell r="AC110">
            <v>101.95975384615384</v>
          </cell>
          <cell r="AD110">
            <v>33.585900000000002</v>
          </cell>
          <cell r="AE110">
            <v>70.39928571428571</v>
          </cell>
          <cell r="AF110">
            <v>111.7</v>
          </cell>
          <cell r="AG110">
            <v>150.5</v>
          </cell>
        </row>
        <row r="111">
          <cell r="Z111">
            <v>157.19412500000001</v>
          </cell>
          <cell r="AA111">
            <v>361.84839999999997</v>
          </cell>
          <cell r="AB111">
            <v>483.1</v>
          </cell>
          <cell r="AC111">
            <v>657.07396923076919</v>
          </cell>
          <cell r="AD111">
            <v>156.73419999999999</v>
          </cell>
          <cell r="AE111">
            <v>321.02074285714286</v>
          </cell>
          <cell r="AF111">
            <v>446.8</v>
          </cell>
          <cell r="AG111">
            <v>746.2</v>
          </cell>
        </row>
        <row r="112">
          <cell r="Z112">
            <v>8.5742250000000002</v>
          </cell>
          <cell r="AA112">
            <v>17.095199999999998</v>
          </cell>
          <cell r="AB112">
            <v>25.7</v>
          </cell>
          <cell r="AC112">
            <v>36.818800000000003</v>
          </cell>
          <cell r="AD112">
            <v>8.3964750000000006</v>
          </cell>
          <cell r="AE112">
            <v>16.89582857142857</v>
          </cell>
          <cell r="AF112">
            <v>21.8</v>
          </cell>
          <cell r="AG112">
            <v>30.6</v>
          </cell>
        </row>
        <row r="113">
          <cell r="Z113">
            <v>2.8580750000000004</v>
          </cell>
          <cell r="AA113">
            <v>22.793599999999998</v>
          </cell>
          <cell r="AB113">
            <v>27.9</v>
          </cell>
          <cell r="AC113">
            <v>33.986584615384615</v>
          </cell>
          <cell r="AD113">
            <v>19.591774999999998</v>
          </cell>
          <cell r="AE113">
            <v>64.76734285714285</v>
          </cell>
          <cell r="AF113">
            <v>73.900000000000006</v>
          </cell>
          <cell r="AG113">
            <v>82.300000000000011</v>
          </cell>
        </row>
        <row r="114">
          <cell r="Z114">
            <v>17.14845</v>
          </cell>
          <cell r="AA114">
            <v>56.983999999999995</v>
          </cell>
          <cell r="AB114">
            <v>63.4</v>
          </cell>
          <cell r="AC114">
            <v>70.805384615384611</v>
          </cell>
          <cell r="AD114">
            <v>5.5976500000000007</v>
          </cell>
          <cell r="AE114">
            <v>30.975685714285714</v>
          </cell>
          <cell r="AF114">
            <v>69.7</v>
          </cell>
          <cell r="AG114">
            <v>114.40000000000003</v>
          </cell>
        </row>
        <row r="115">
          <cell r="Q115">
            <v>8012</v>
          </cell>
          <cell r="U115">
            <v>8394</v>
          </cell>
          <cell r="Y115">
            <v>8565</v>
          </cell>
          <cell r="Z115">
            <v>2235.0146500000001</v>
          </cell>
          <cell r="AA115">
            <v>4610.0055999999995</v>
          </cell>
          <cell r="AB115">
            <v>6743.7</v>
          </cell>
          <cell r="AC115">
            <v>9170.7134153846164</v>
          </cell>
          <cell r="AD115">
            <v>2345.4153499999998</v>
          </cell>
          <cell r="AE115">
            <v>4764.6236571428562</v>
          </cell>
          <cell r="AF115">
            <v>7132.9</v>
          </cell>
          <cell r="AG115">
            <v>9824</v>
          </cell>
        </row>
        <row r="116">
          <cell r="Q116">
            <v>1271</v>
          </cell>
          <cell r="U116">
            <v>1013</v>
          </cell>
          <cell r="Y116">
            <v>900</v>
          </cell>
          <cell r="Z116">
            <v>214.35562499999997</v>
          </cell>
          <cell r="AA116">
            <v>510.00679999999988</v>
          </cell>
          <cell r="AB116">
            <v>675.80000000000007</v>
          </cell>
          <cell r="AC116">
            <v>900.6444923076923</v>
          </cell>
          <cell r="AD116">
            <v>223.90600000000001</v>
          </cell>
          <cell r="AE116">
            <v>504.05888571428574</v>
          </cell>
          <cell r="AF116">
            <v>723.9</v>
          </cell>
          <cell r="AG116">
            <v>1124.0000000000002</v>
          </cell>
        </row>
        <row r="119">
          <cell r="Z119">
            <v>102.89070000000001</v>
          </cell>
          <cell r="AA119">
            <v>-94.023599999999988</v>
          </cell>
          <cell r="AB119">
            <v>-8.5</v>
          </cell>
          <cell r="AC119">
            <v>195.42286153846155</v>
          </cell>
          <cell r="AD119">
            <v>268.68720000000002</v>
          </cell>
          <cell r="AE119">
            <v>366.07628571428569</v>
          </cell>
          <cell r="AF119">
            <v>89.5</v>
          </cell>
          <cell r="AG119">
            <v>-114.69999999999993</v>
          </cell>
        </row>
        <row r="120">
          <cell r="Z120">
            <v>405.84665000000001</v>
          </cell>
          <cell r="AA120">
            <v>849.06159999999988</v>
          </cell>
          <cell r="AB120">
            <v>1108</v>
          </cell>
          <cell r="AC120">
            <v>1365.1278153846154</v>
          </cell>
          <cell r="AD120">
            <v>193.11892500000002</v>
          </cell>
          <cell r="AE120">
            <v>335.10059999999999</v>
          </cell>
          <cell r="AF120">
            <v>1086.0999999999999</v>
          </cell>
          <cell r="AG120">
            <v>1847.7</v>
          </cell>
        </row>
        <row r="121">
          <cell r="Z121">
            <v>508.73735000000005</v>
          </cell>
          <cell r="AA121">
            <v>755.0379999999999</v>
          </cell>
          <cell r="AB121">
            <v>1099.5</v>
          </cell>
          <cell r="AC121">
            <v>1560.5506769230769</v>
          </cell>
          <cell r="AD121">
            <v>461.80612500000001</v>
          </cell>
          <cell r="AE121">
            <v>701.17688571428562</v>
          </cell>
          <cell r="AF121">
            <v>1175.5999999999999</v>
          </cell>
          <cell r="AG121">
            <v>1733</v>
          </cell>
        </row>
        <row r="124">
          <cell r="F124">
            <v>-1501</v>
          </cell>
          <cell r="G124">
            <v>-3102</v>
          </cell>
          <cell r="H124">
            <v>-4631</v>
          </cell>
          <cell r="I124">
            <v>-6586</v>
          </cell>
          <cell r="J124">
            <v>-1417</v>
          </cell>
          <cell r="K124">
            <v>-2887</v>
          </cell>
          <cell r="L124">
            <v>-4519</v>
          </cell>
          <cell r="M124">
            <v>-6527</v>
          </cell>
          <cell r="N124">
            <v>-1563</v>
          </cell>
          <cell r="O124">
            <v>-3158</v>
          </cell>
          <cell r="P124">
            <v>-4802</v>
          </cell>
          <cell r="Q124">
            <v>-6858</v>
          </cell>
          <cell r="R124">
            <v>-1682</v>
          </cell>
          <cell r="S124">
            <v>-3355</v>
          </cell>
          <cell r="T124">
            <v>-5079</v>
          </cell>
          <cell r="U124">
            <v>-7034</v>
          </cell>
          <cell r="V124">
            <v>-1749</v>
          </cell>
          <cell r="W124">
            <v>-3512</v>
          </cell>
          <cell r="X124">
            <v>-5386</v>
          </cell>
          <cell r="Y124">
            <v>-7362</v>
          </cell>
          <cell r="Z124">
            <v>-1754.85805</v>
          </cell>
          <cell r="AA124">
            <v>-3612.7855999999997</v>
          </cell>
          <cell r="AB124">
            <v>-5532.7</v>
          </cell>
          <cell r="AC124">
            <v>-7748.9412923076925</v>
          </cell>
          <cell r="AD124">
            <v>-1894.8045250000002</v>
          </cell>
          <cell r="AE124">
            <v>-3925.4641714285713</v>
          </cell>
          <cell r="AF124">
            <v>-6053.5</v>
          </cell>
          <cell r="AG124">
            <v>-8445.5</v>
          </cell>
        </row>
        <row r="125">
          <cell r="F125">
            <v>-1567</v>
          </cell>
          <cell r="G125">
            <v>-3254</v>
          </cell>
          <cell r="H125">
            <v>-4843</v>
          </cell>
          <cell r="I125">
            <v>-6367</v>
          </cell>
          <cell r="J125">
            <v>-1561</v>
          </cell>
          <cell r="K125">
            <v>-3387</v>
          </cell>
          <cell r="L125">
            <v>-4884</v>
          </cell>
          <cell r="M125">
            <v>-6001</v>
          </cell>
          <cell r="N125">
            <v>-1451</v>
          </cell>
          <cell r="O125">
            <v>-2866</v>
          </cell>
          <cell r="P125">
            <v>-4271</v>
          </cell>
          <cell r="Q125">
            <v>-5220</v>
          </cell>
          <cell r="R125">
            <v>-1514</v>
          </cell>
          <cell r="S125">
            <v>-3054</v>
          </cell>
          <cell r="T125">
            <v>-4274</v>
          </cell>
          <cell r="U125">
            <v>-5706</v>
          </cell>
          <cell r="V125">
            <v>-1524</v>
          </cell>
          <cell r="W125">
            <v>-2900</v>
          </cell>
          <cell r="X125">
            <v>-4375</v>
          </cell>
          <cell r="Y125">
            <v>-5688</v>
          </cell>
          <cell r="Z125">
            <v>-1520.4959000000001</v>
          </cell>
          <cell r="AA125">
            <v>-3074.2867999999999</v>
          </cell>
          <cell r="AB125">
            <v>-4540.6000000000004</v>
          </cell>
          <cell r="AC125">
            <v>-6236.5382769230764</v>
          </cell>
          <cell r="AD125">
            <v>-1668.0997</v>
          </cell>
          <cell r="AE125">
            <v>-3452.3809714285708</v>
          </cell>
          <cell r="AF125">
            <v>-5112.5</v>
          </cell>
          <cell r="AG125">
            <v>-6654.2</v>
          </cell>
        </row>
        <row r="126">
          <cell r="F126">
            <v>-692</v>
          </cell>
          <cell r="G126">
            <v>-1370</v>
          </cell>
          <cell r="H126">
            <v>-2011</v>
          </cell>
          <cell r="I126">
            <v>-2271</v>
          </cell>
          <cell r="J126">
            <v>-662</v>
          </cell>
          <cell r="K126">
            <v>-1260</v>
          </cell>
          <cell r="L126">
            <v>-1764</v>
          </cell>
          <cell r="M126">
            <v>-2248</v>
          </cell>
          <cell r="N126">
            <v>-723</v>
          </cell>
          <cell r="O126">
            <v>-1480</v>
          </cell>
          <cell r="P126">
            <v>-2221</v>
          </cell>
          <cell r="Q126">
            <v>-3026</v>
          </cell>
          <cell r="R126">
            <v>-701</v>
          </cell>
          <cell r="S126">
            <v>-1422</v>
          </cell>
          <cell r="T126">
            <v>-2244</v>
          </cell>
          <cell r="U126">
            <v>-3150</v>
          </cell>
          <cell r="V126">
            <v>-826</v>
          </cell>
          <cell r="W126">
            <v>-1652</v>
          </cell>
          <cell r="X126">
            <v>-2502</v>
          </cell>
          <cell r="Y126">
            <v>-3368</v>
          </cell>
          <cell r="Z126">
            <v>-868.85480000000007</v>
          </cell>
          <cell r="AA126">
            <v>-1700.9723999999999</v>
          </cell>
          <cell r="AB126">
            <v>-2554.4</v>
          </cell>
          <cell r="AC126">
            <v>-3353.3430153846157</v>
          </cell>
          <cell r="AD126">
            <v>-839.64750000000004</v>
          </cell>
          <cell r="AE126">
            <v>-1695.2148</v>
          </cell>
          <cell r="AF126">
            <v>-2434.3000000000002</v>
          </cell>
          <cell r="AG126">
            <v>-3271.7</v>
          </cell>
        </row>
        <row r="127">
          <cell r="F127">
            <v>-3760</v>
          </cell>
          <cell r="G127">
            <v>-7726</v>
          </cell>
          <cell r="H127">
            <v>-11485</v>
          </cell>
          <cell r="I127">
            <v>-15224</v>
          </cell>
          <cell r="J127">
            <v>-3640</v>
          </cell>
          <cell r="K127">
            <v>-7534</v>
          </cell>
          <cell r="L127">
            <v>-11167</v>
          </cell>
          <cell r="M127">
            <v>-14776</v>
          </cell>
          <cell r="N127">
            <v>-3737</v>
          </cell>
          <cell r="O127">
            <v>-7504</v>
          </cell>
          <cell r="P127">
            <v>-11294</v>
          </cell>
          <cell r="Q127">
            <v>-15104</v>
          </cell>
          <cell r="R127">
            <v>-3897</v>
          </cell>
          <cell r="S127">
            <v>-7831</v>
          </cell>
          <cell r="T127">
            <v>-11597</v>
          </cell>
          <cell r="U127">
            <v>-15890</v>
          </cell>
          <cell r="V127">
            <v>-4099</v>
          </cell>
          <cell r="W127">
            <v>-8064</v>
          </cell>
          <cell r="X127">
            <v>-12263</v>
          </cell>
          <cell r="Y127">
            <v>-16418</v>
          </cell>
          <cell r="Z127">
            <v>-4144.2087500000007</v>
          </cell>
          <cell r="AA127">
            <v>-8388.0447999999978</v>
          </cell>
          <cell r="AB127">
            <v>-12627.7</v>
          </cell>
          <cell r="AC127">
            <v>-17338.822584615387</v>
          </cell>
          <cell r="AD127">
            <v>-4402.5517250000003</v>
          </cell>
          <cell r="AE127">
            <v>-9073.0599428571422</v>
          </cell>
          <cell r="AF127">
            <v>-13600.3</v>
          </cell>
          <cell r="AG127">
            <v>-18371.400000000001</v>
          </cell>
        </row>
        <row r="130">
          <cell r="Z130">
            <v>951.73897499999998</v>
          </cell>
          <cell r="AA130">
            <v>2062.8208</v>
          </cell>
          <cell r="AB130">
            <v>3047.3</v>
          </cell>
          <cell r="AC130">
            <v>4452.2425846153847</v>
          </cell>
          <cell r="AD130">
            <v>1514.1643250000002</v>
          </cell>
          <cell r="AE130">
            <v>3167.9678571428567</v>
          </cell>
          <cell r="AF130">
            <v>4663.7</v>
          </cell>
          <cell r="AG130">
            <v>6457.4</v>
          </cell>
        </row>
        <row r="202">
          <cell r="B202" t="str">
            <v>Q1 00</v>
          </cell>
          <cell r="C202" t="str">
            <v>Q2 00</v>
          </cell>
          <cell r="D202" t="str">
            <v>Q3 00</v>
          </cell>
          <cell r="E202" t="str">
            <v>Q4 00</v>
          </cell>
          <cell r="F202" t="str">
            <v>Q1 01</v>
          </cell>
          <cell r="G202" t="str">
            <v>Q2 01</v>
          </cell>
          <cell r="H202" t="str">
            <v>Q3 01</v>
          </cell>
          <cell r="I202" t="str">
            <v>Q4 01</v>
          </cell>
          <cell r="J202" t="str">
            <v>Q1 02</v>
          </cell>
          <cell r="K202" t="str">
            <v>Q2 02</v>
          </cell>
          <cell r="L202" t="str">
            <v>Q3 02</v>
          </cell>
          <cell r="M202" t="str">
            <v>Q4 02</v>
          </cell>
          <cell r="N202" t="str">
            <v>Q1 03</v>
          </cell>
          <cell r="O202" t="str">
            <v>Q2 03</v>
          </cell>
          <cell r="P202" t="str">
            <v>Q3 03</v>
          </cell>
          <cell r="Q202" t="str">
            <v>Q4 03</v>
          </cell>
          <cell r="R202" t="str">
            <v>Q1 04</v>
          </cell>
          <cell r="S202" t="str">
            <v>Q2 04</v>
          </cell>
          <cell r="T202" t="str">
            <v>Q3 04</v>
          </cell>
          <cell r="U202" t="str">
            <v>Q4 04</v>
          </cell>
          <cell r="V202" t="str">
            <v>Q1 05</v>
          </cell>
          <cell r="W202" t="str">
            <v>Q2 05</v>
          </cell>
          <cell r="X202" t="str">
            <v>Q3 05</v>
          </cell>
          <cell r="Y202" t="str">
            <v>Q4 05</v>
          </cell>
          <cell r="Z202" t="str">
            <v>Q1 06</v>
          </cell>
          <cell r="AA202" t="str">
            <v>Q2 06</v>
          </cell>
          <cell r="AB202" t="str">
            <v>Q3 06</v>
          </cell>
          <cell r="AC202" t="str">
            <v>Q4 06</v>
          </cell>
          <cell r="AD202" t="str">
            <v>Q1 07</v>
          </cell>
          <cell r="AE202" t="str">
            <v>Q2 07</v>
          </cell>
          <cell r="AF202" t="str">
            <v>Q3 07</v>
          </cell>
          <cell r="AG202" t="str">
            <v>Q4 07</v>
          </cell>
          <cell r="AH202" t="str">
            <v>Q1 08</v>
          </cell>
          <cell r="AI202" t="str">
            <v>Q2 08</v>
          </cell>
          <cell r="AJ202" t="str">
            <v>Q3 08</v>
          </cell>
          <cell r="AK202" t="str">
            <v>Q4 08</v>
          </cell>
          <cell r="AL202" t="str">
            <v>Q1 09</v>
          </cell>
          <cell r="AM202" t="str">
            <v>Q2 09</v>
          </cell>
          <cell r="AN202" t="str">
            <v>Q3 09</v>
          </cell>
          <cell r="AO202" t="str">
            <v>Q4 09</v>
          </cell>
          <cell r="AP202" t="str">
            <v>Q1 10</v>
          </cell>
          <cell r="AQ202" t="str">
            <v>Q2 10</v>
          </cell>
          <cell r="AR202" t="str">
            <v>Q3 10</v>
          </cell>
          <cell r="AS202" t="str">
            <v>Q4 10</v>
          </cell>
          <cell r="AT202" t="str">
            <v>Q1 11</v>
          </cell>
          <cell r="AU202" t="str">
            <v>Q2 11</v>
          </cell>
          <cell r="AV202" t="str">
            <v>Q3 11</v>
          </cell>
          <cell r="AW202" t="str">
            <v>Q4 11</v>
          </cell>
          <cell r="AX202" t="str">
            <v>Q1 12</v>
          </cell>
          <cell r="AY202" t="str">
            <v>Q2 12</v>
          </cell>
          <cell r="AZ202" t="str">
            <v>Q3 12</v>
          </cell>
          <cell r="BA202" t="str">
            <v>Q4 12</v>
          </cell>
          <cell r="BB202" t="str">
            <v>Q1 13</v>
          </cell>
          <cell r="BC202" t="str">
            <v>Q2 13</v>
          </cell>
          <cell r="BD202" t="str">
            <v>Q3 13</v>
          </cell>
          <cell r="BE202" t="str">
            <v>Q4 13</v>
          </cell>
          <cell r="BF202" t="str">
            <v>Q1 14</v>
          </cell>
          <cell r="BG202" t="str">
            <v>Q2 14</v>
          </cell>
          <cell r="BH202" t="str">
            <v>Q3 14</v>
          </cell>
          <cell r="BI202" t="str">
            <v>Q4 14</v>
          </cell>
          <cell r="BJ202" t="str">
            <v>Q1 15</v>
          </cell>
          <cell r="BK202" t="str">
            <v>Q2 15</v>
          </cell>
          <cell r="BL202" t="str">
            <v>Q3 15</v>
          </cell>
          <cell r="BM202" t="str">
            <v>Q4 15</v>
          </cell>
        </row>
        <row r="203">
          <cell r="Z203">
            <v>6965.1287750000001</v>
          </cell>
          <cell r="AA203">
            <v>7340.704424999999</v>
          </cell>
          <cell r="AB203">
            <v>7189.0668000000023</v>
          </cell>
          <cell r="AC203">
            <v>8073.4286153846151</v>
          </cell>
          <cell r="AD203">
            <v>8133.3854500000007</v>
          </cell>
          <cell r="AE203">
            <v>8799.0507499999949</v>
          </cell>
          <cell r="AF203">
            <v>8901.5638000000035</v>
          </cell>
          <cell r="AG203">
            <v>9982.4000000000015</v>
          </cell>
        </row>
        <row r="204">
          <cell r="Z204">
            <v>-1874.8971999999999</v>
          </cell>
          <cell r="AA204">
            <v>-2045.6019999999994</v>
          </cell>
          <cell r="AB204">
            <v>-2067.3008000000009</v>
          </cell>
          <cell r="AC204">
            <v>-2426.7119076923072</v>
          </cell>
          <cell r="AD204">
            <v>-2437.7765749999999</v>
          </cell>
          <cell r="AE204">
            <v>-2937.9128821428567</v>
          </cell>
          <cell r="AF204">
            <v>-2608.4105428571438</v>
          </cell>
          <cell r="AG204">
            <v>-3140.1000000000004</v>
          </cell>
        </row>
        <row r="205"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-5.8</v>
          </cell>
          <cell r="AG205">
            <v>5.3</v>
          </cell>
        </row>
        <row r="206">
          <cell r="F206">
            <v>3425</v>
          </cell>
          <cell r="G206">
            <v>3477.7</v>
          </cell>
          <cell r="H206">
            <v>3891.3</v>
          </cell>
          <cell r="I206">
            <v>4362</v>
          </cell>
          <cell r="J206">
            <v>3995</v>
          </cell>
          <cell r="K206">
            <v>3988</v>
          </cell>
          <cell r="L206">
            <v>3638</v>
          </cell>
          <cell r="M206">
            <v>3874</v>
          </cell>
          <cell r="N206">
            <v>3803</v>
          </cell>
          <cell r="O206">
            <v>3920</v>
          </cell>
          <cell r="P206">
            <v>3799</v>
          </cell>
          <cell r="Q206">
            <v>4063</v>
          </cell>
          <cell r="R206">
            <v>4213</v>
          </cell>
          <cell r="S206">
            <v>4204</v>
          </cell>
          <cell r="T206">
            <v>4207</v>
          </cell>
          <cell r="U206">
            <v>4612</v>
          </cell>
          <cell r="V206">
            <v>4420</v>
          </cell>
          <cell r="W206">
            <v>4605</v>
          </cell>
          <cell r="X206">
            <v>4673</v>
          </cell>
          <cell r="Y206">
            <v>4877</v>
          </cell>
          <cell r="Z206">
            <v>5090.2315749999998</v>
          </cell>
          <cell r="AA206">
            <v>5295.1024249999991</v>
          </cell>
          <cell r="AB206">
            <v>5121.7660000000014</v>
          </cell>
          <cell r="AC206">
            <v>5646.7167076923051</v>
          </cell>
          <cell r="AD206">
            <v>5695.6088749999999</v>
          </cell>
          <cell r="AE206">
            <v>5861.1378678571418</v>
          </cell>
          <cell r="AF206">
            <v>6287.3532571428568</v>
          </cell>
          <cell r="AG206">
            <v>6847.6000000000022</v>
          </cell>
        </row>
        <row r="207">
          <cell r="F207">
            <v>-581</v>
          </cell>
          <cell r="G207">
            <v>-656</v>
          </cell>
          <cell r="H207">
            <v>-623</v>
          </cell>
          <cell r="I207">
            <v>-871</v>
          </cell>
          <cell r="J207">
            <v>-487</v>
          </cell>
          <cell r="K207">
            <v>330</v>
          </cell>
          <cell r="L207">
            <v>-20</v>
          </cell>
          <cell r="M207">
            <v>-112</v>
          </cell>
          <cell r="N207">
            <v>288</v>
          </cell>
          <cell r="O207">
            <v>271</v>
          </cell>
          <cell r="P207">
            <v>1187</v>
          </cell>
          <cell r="Q207">
            <v>224</v>
          </cell>
          <cell r="R207">
            <v>-307</v>
          </cell>
          <cell r="S207">
            <v>-92</v>
          </cell>
          <cell r="T207">
            <v>-200</v>
          </cell>
          <cell r="U207">
            <v>93.771419346152925</v>
          </cell>
          <cell r="V207">
            <v>-55</v>
          </cell>
          <cell r="W207">
            <v>-38</v>
          </cell>
          <cell r="X207">
            <v>-39</v>
          </cell>
          <cell r="Y207">
            <v>-254</v>
          </cell>
          <cell r="Z207">
            <v>-308.67210000000006</v>
          </cell>
          <cell r="AA207">
            <v>-321.00109999999989</v>
          </cell>
          <cell r="AB207">
            <v>-295.42680000000007</v>
          </cell>
          <cell r="AC207">
            <v>-561.81307692307689</v>
          </cell>
          <cell r="AD207">
            <v>-400.23197500000003</v>
          </cell>
          <cell r="AE207">
            <v>-517.77471071428567</v>
          </cell>
          <cell r="AF207">
            <v>-463.5933142857142</v>
          </cell>
          <cell r="AG207">
            <v>-829.5</v>
          </cell>
        </row>
        <row r="208">
          <cell r="Z208">
            <v>2375.0603249999999</v>
          </cell>
          <cell r="AA208">
            <v>2625.2856749999996</v>
          </cell>
          <cell r="AB208">
            <v>2405.3540000000003</v>
          </cell>
          <cell r="AC208">
            <v>2812.9331076923072</v>
          </cell>
          <cell r="AD208">
            <v>2600.1084250000004</v>
          </cell>
          <cell r="AE208">
            <v>2753.053260714285</v>
          </cell>
          <cell r="AF208">
            <v>2733.1383142857148</v>
          </cell>
          <cell r="AG208">
            <v>3183.5999999999995</v>
          </cell>
        </row>
        <row r="209">
          <cell r="Z209">
            <v>-140.04567500000002</v>
          </cell>
          <cell r="AA209">
            <v>-250.29472499999991</v>
          </cell>
          <cell r="AB209">
            <v>-271.65960000000007</v>
          </cell>
          <cell r="AC209">
            <v>-385.91969230769223</v>
          </cell>
          <cell r="AD209">
            <v>-254.69307499999999</v>
          </cell>
          <cell r="AE209">
            <v>-333.8449535714285</v>
          </cell>
          <cell r="AF209">
            <v>-364.86197142857145</v>
          </cell>
          <cell r="AG209">
            <v>-492.69999999999993</v>
          </cell>
        </row>
        <row r="210">
          <cell r="F210">
            <v>1384</v>
          </cell>
          <cell r="G210">
            <v>1813</v>
          </cell>
          <cell r="H210">
            <v>1605</v>
          </cell>
          <cell r="I210">
            <v>1396</v>
          </cell>
          <cell r="J210">
            <v>1543</v>
          </cell>
          <cell r="K210">
            <v>1753</v>
          </cell>
          <cell r="L210">
            <v>1708</v>
          </cell>
          <cell r="M210">
            <v>1994</v>
          </cell>
          <cell r="N210">
            <v>1878</v>
          </cell>
          <cell r="O210">
            <v>1875</v>
          </cell>
          <cell r="P210">
            <v>1942</v>
          </cell>
          <cell r="Q210">
            <v>2317</v>
          </cell>
          <cell r="R210">
            <v>1998</v>
          </cell>
          <cell r="S210">
            <v>2084</v>
          </cell>
          <cell r="T210">
            <v>2072</v>
          </cell>
          <cell r="U210">
            <v>2240</v>
          </cell>
          <cell r="V210">
            <v>2185</v>
          </cell>
          <cell r="W210">
            <v>2180</v>
          </cell>
          <cell r="X210">
            <v>2161</v>
          </cell>
          <cell r="Y210">
            <v>2039</v>
          </cell>
          <cell r="Z210">
            <v>2235.0146500000001</v>
          </cell>
          <cell r="AA210">
            <v>2374.9909499999994</v>
          </cell>
          <cell r="AB210">
            <v>2133.6944000000003</v>
          </cell>
          <cell r="AC210">
            <v>2427.0134153846166</v>
          </cell>
          <cell r="AD210">
            <v>2345.4153499999998</v>
          </cell>
          <cell r="AE210">
            <v>2419.2083071428565</v>
          </cell>
          <cell r="AF210">
            <v>2368.2763428571434</v>
          </cell>
          <cell r="AG210">
            <v>2690.8999999999996</v>
          </cell>
        </row>
        <row r="211">
          <cell r="F211">
            <v>128</v>
          </cell>
          <cell r="G211">
            <v>269</v>
          </cell>
          <cell r="H211">
            <v>290</v>
          </cell>
          <cell r="I211">
            <v>146</v>
          </cell>
          <cell r="J211">
            <v>153</v>
          </cell>
          <cell r="K211">
            <v>518</v>
          </cell>
          <cell r="L211">
            <v>262</v>
          </cell>
          <cell r="M211">
            <v>115</v>
          </cell>
          <cell r="N211">
            <v>313</v>
          </cell>
          <cell r="O211">
            <v>192</v>
          </cell>
          <cell r="P211">
            <v>413</v>
          </cell>
          <cell r="Q211">
            <v>403</v>
          </cell>
          <cell r="R211">
            <v>378</v>
          </cell>
          <cell r="S211">
            <v>446</v>
          </cell>
          <cell r="T211">
            <v>155</v>
          </cell>
          <cell r="U211">
            <v>330</v>
          </cell>
          <cell r="V211">
            <v>389</v>
          </cell>
          <cell r="W211">
            <v>262</v>
          </cell>
          <cell r="X211">
            <v>426</v>
          </cell>
          <cell r="Y211">
            <v>397</v>
          </cell>
          <cell r="Z211">
            <v>508.73735000000005</v>
          </cell>
          <cell r="AA211">
            <v>246.30064999999985</v>
          </cell>
          <cell r="AB211">
            <v>344.4620000000001</v>
          </cell>
          <cell r="AC211">
            <v>461.05067692307694</v>
          </cell>
          <cell r="AD211">
            <v>461.80612500000001</v>
          </cell>
          <cell r="AE211">
            <v>239.37076071428561</v>
          </cell>
          <cell r="AF211">
            <v>474.42311428571429</v>
          </cell>
          <cell r="AG211">
            <v>557.40000000000009</v>
          </cell>
        </row>
        <row r="212">
          <cell r="F212">
            <v>-3760</v>
          </cell>
          <cell r="G212">
            <v>-3966</v>
          </cell>
          <cell r="H212">
            <v>-3759</v>
          </cell>
          <cell r="I212">
            <v>-3739</v>
          </cell>
          <cell r="J212">
            <v>-3474</v>
          </cell>
          <cell r="K212">
            <v>-3749</v>
          </cell>
          <cell r="L212">
            <v>-3489</v>
          </cell>
          <cell r="M212">
            <v>-3520</v>
          </cell>
          <cell r="N212">
            <v>-3737</v>
          </cell>
          <cell r="O212">
            <v>-3767</v>
          </cell>
          <cell r="P212">
            <v>-3790</v>
          </cell>
          <cell r="Q212">
            <v>-3810</v>
          </cell>
          <cell r="R212">
            <v>-3897</v>
          </cell>
          <cell r="S212">
            <v>-3934</v>
          </cell>
          <cell r="T212">
            <v>-3766</v>
          </cell>
          <cell r="U212">
            <v>-4293</v>
          </cell>
          <cell r="V212">
            <v>-4099</v>
          </cell>
          <cell r="W212">
            <v>-3965</v>
          </cell>
          <cell r="X212">
            <v>-4199</v>
          </cell>
          <cell r="Y212">
            <v>-4155</v>
          </cell>
          <cell r="Z212">
            <v>-4144.2087500000007</v>
          </cell>
          <cell r="AA212">
            <v>-4243.8360499999972</v>
          </cell>
          <cell r="AB212">
            <v>-4239.6552000000029</v>
          </cell>
          <cell r="AC212">
            <v>-4711.1225846153866</v>
          </cell>
          <cell r="AD212">
            <v>-4402.5517250000003</v>
          </cell>
          <cell r="AE212">
            <v>-4670.508217857142</v>
          </cell>
          <cell r="AF212">
            <v>-4527.240057142857</v>
          </cell>
          <cell r="AG212">
            <v>-4771.1000000000022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23</v>
          </cell>
          <cell r="K213">
            <v>31</v>
          </cell>
          <cell r="L213">
            <v>-99</v>
          </cell>
          <cell r="M213">
            <v>117</v>
          </cell>
          <cell r="N213">
            <v>57</v>
          </cell>
          <cell r="O213">
            <v>60</v>
          </cell>
          <cell r="P213">
            <v>50</v>
          </cell>
          <cell r="Q213">
            <v>160</v>
          </cell>
          <cell r="R213">
            <v>69</v>
          </cell>
          <cell r="S213">
            <v>40</v>
          </cell>
          <cell r="T213">
            <v>101</v>
          </cell>
          <cell r="U213">
            <v>58</v>
          </cell>
          <cell r="V213">
            <v>55</v>
          </cell>
          <cell r="W213">
            <v>60</v>
          </cell>
          <cell r="X213">
            <v>65</v>
          </cell>
          <cell r="Y213">
            <v>55</v>
          </cell>
          <cell r="Z213">
            <v>71.451875000000001</v>
          </cell>
          <cell r="AA213">
            <v>56.762124999999997</v>
          </cell>
          <cell r="AB213">
            <v>145.08600000000001</v>
          </cell>
          <cell r="AC213">
            <v>137.37123076923075</v>
          </cell>
          <cell r="AD213">
            <v>100.7577</v>
          </cell>
          <cell r="AE213">
            <v>59.752671428571432</v>
          </cell>
          <cell r="AF213">
            <v>201.98962857142857</v>
          </cell>
          <cell r="AG213">
            <v>129.19999999999999</v>
          </cell>
        </row>
        <row r="214">
          <cell r="Z214">
            <v>-228.64600000000002</v>
          </cell>
          <cell r="AA214">
            <v>-133.20239999999995</v>
          </cell>
          <cell r="AB214">
            <v>-167.35160000000008</v>
          </cell>
          <cell r="AC214">
            <v>376.26036923076924</v>
          </cell>
          <cell r="AD214">
            <v>-148.33772500000001</v>
          </cell>
          <cell r="AE214">
            <v>-310.66561785714282</v>
          </cell>
          <cell r="AF214">
            <v>-262.7966571428571</v>
          </cell>
          <cell r="AG214">
            <v>-142.5</v>
          </cell>
        </row>
        <row r="215">
          <cell r="Z215">
            <v>-197.20717500000003</v>
          </cell>
          <cell r="AA215">
            <v>-181.73642499999997</v>
          </cell>
          <cell r="AB215">
            <v>214.64359999999999</v>
          </cell>
          <cell r="AC215">
            <v>150.13892307692308</v>
          </cell>
          <cell r="AD215">
            <v>-109.154175</v>
          </cell>
          <cell r="AE215">
            <v>4.9632321428571373</v>
          </cell>
          <cell r="AF215">
            <v>-216.90905714285716</v>
          </cell>
          <cell r="AG215">
            <v>8.5</v>
          </cell>
        </row>
        <row r="216">
          <cell r="Z216">
            <v>277.23327499999999</v>
          </cell>
          <cell r="AA216">
            <v>115.95632499999999</v>
          </cell>
          <cell r="AB216">
            <v>147.31040000000002</v>
          </cell>
          <cell r="AC216">
            <v>238.35923076923075</v>
          </cell>
          <cell r="AD216">
            <v>167.92950000000002</v>
          </cell>
          <cell r="AE216">
            <v>127.74749999999995</v>
          </cell>
          <cell r="AF216">
            <v>167.12300000000005</v>
          </cell>
          <cell r="AG216">
            <v>132.80000000000001</v>
          </cell>
        </row>
        <row r="217">
          <cell r="Z217">
            <v>0</v>
          </cell>
          <cell r="AA217">
            <v>0</v>
          </cell>
          <cell r="AB217">
            <v>0</v>
          </cell>
          <cell r="AC217">
            <v>-22.657723076923077</v>
          </cell>
          <cell r="AD217">
            <v>11.195300000000001</v>
          </cell>
          <cell r="AE217">
            <v>6.8585714285712029E-2</v>
          </cell>
          <cell r="AF217">
            <v>0.73611428571428661</v>
          </cell>
          <cell r="AG217">
            <v>0</v>
          </cell>
        </row>
        <row r="218">
          <cell r="F218">
            <v>490</v>
          </cell>
          <cell r="G218">
            <v>1043.7</v>
          </cell>
          <cell r="H218">
            <v>153.29999999999995</v>
          </cell>
          <cell r="I218">
            <v>1209</v>
          </cell>
          <cell r="J218">
            <v>1481</v>
          </cell>
          <cell r="K218">
            <v>2704</v>
          </cell>
          <cell r="L218">
            <v>2413</v>
          </cell>
          <cell r="M218">
            <v>2311</v>
          </cell>
          <cell r="N218">
            <v>2614</v>
          </cell>
          <cell r="O218">
            <v>2386</v>
          </cell>
          <cell r="P218">
            <v>3278</v>
          </cell>
          <cell r="Q218">
            <v>2663</v>
          </cell>
          <cell r="R218">
            <v>5117</v>
          </cell>
          <cell r="S218">
            <v>2606</v>
          </cell>
          <cell r="T218">
            <v>2553</v>
          </cell>
          <cell r="U218">
            <v>2896.7714193461543</v>
          </cell>
          <cell r="V218">
            <v>3158</v>
          </cell>
          <cell r="W218">
            <v>3508</v>
          </cell>
          <cell r="X218">
            <v>3210</v>
          </cell>
          <cell r="Y218">
            <v>2435</v>
          </cell>
          <cell r="Z218">
            <v>3303.9347000000002</v>
          </cell>
          <cell r="AA218">
            <v>3209.336499999999</v>
          </cell>
          <cell r="AB218">
            <v>3404.5288</v>
          </cell>
          <cell r="AC218">
            <v>4141.3171692307697</v>
          </cell>
          <cell r="AD218">
            <v>3722.4372499999999</v>
          </cell>
          <cell r="AE218">
            <v>3213.3003785714282</v>
          </cell>
          <cell r="AF218">
            <v>4029.3623714285723</v>
          </cell>
          <cell r="AG218">
            <v>4623.3000000000011</v>
          </cell>
        </row>
        <row r="219">
          <cell r="F219">
            <v>-111</v>
          </cell>
          <cell r="G219">
            <v>-201</v>
          </cell>
          <cell r="H219">
            <v>-98</v>
          </cell>
          <cell r="I219">
            <v>-565</v>
          </cell>
          <cell r="J219">
            <v>-508</v>
          </cell>
          <cell r="K219">
            <v>-613</v>
          </cell>
          <cell r="L219">
            <v>-479</v>
          </cell>
          <cell r="M219">
            <v>-1317</v>
          </cell>
          <cell r="N219">
            <v>-757</v>
          </cell>
          <cell r="O219">
            <v>-775</v>
          </cell>
          <cell r="P219">
            <v>-985</v>
          </cell>
          <cell r="Q219">
            <v>-632</v>
          </cell>
          <cell r="R219">
            <v>-1509</v>
          </cell>
          <cell r="S219">
            <v>-704</v>
          </cell>
          <cell r="T219">
            <v>-734</v>
          </cell>
          <cell r="U219">
            <v>-1003</v>
          </cell>
          <cell r="V219">
            <v>-827</v>
          </cell>
          <cell r="W219">
            <v>-956</v>
          </cell>
          <cell r="X219">
            <v>-810</v>
          </cell>
          <cell r="Y219">
            <v>-472</v>
          </cell>
          <cell r="Z219">
            <v>-763.10602500000005</v>
          </cell>
          <cell r="AA219">
            <v>-801.10477499999979</v>
          </cell>
          <cell r="AB219">
            <v>-869.58920000000035</v>
          </cell>
          <cell r="AC219">
            <v>-1063.9859999999999</v>
          </cell>
          <cell r="AD219">
            <v>-912.41695000000004</v>
          </cell>
          <cell r="AE219">
            <v>-720.84647857142841</v>
          </cell>
          <cell r="AF219">
            <v>-1050.3365714285715</v>
          </cell>
          <cell r="AG219">
            <v>-529.09999999999991</v>
          </cell>
        </row>
        <row r="220">
          <cell r="F220">
            <v>379</v>
          </cell>
          <cell r="G220">
            <v>842.7</v>
          </cell>
          <cell r="H220">
            <v>55.299999999999955</v>
          </cell>
          <cell r="I220">
            <v>644</v>
          </cell>
          <cell r="J220">
            <v>973</v>
          </cell>
          <cell r="K220">
            <v>2091</v>
          </cell>
          <cell r="L220">
            <v>1934</v>
          </cell>
          <cell r="M220">
            <v>994</v>
          </cell>
          <cell r="N220">
            <v>1857</v>
          </cell>
          <cell r="O220">
            <v>1611</v>
          </cell>
          <cell r="P220">
            <v>2293</v>
          </cell>
          <cell r="Q220">
            <v>2031</v>
          </cell>
          <cell r="R220">
            <v>3608</v>
          </cell>
          <cell r="S220">
            <v>1902</v>
          </cell>
          <cell r="T220">
            <v>1819</v>
          </cell>
          <cell r="U220">
            <v>1893.7714193461543</v>
          </cell>
          <cell r="V220">
            <v>2331</v>
          </cell>
          <cell r="W220">
            <v>2552</v>
          </cell>
          <cell r="X220">
            <v>2400</v>
          </cell>
          <cell r="Y220">
            <v>1963</v>
          </cell>
          <cell r="Z220">
            <v>2540.8286749999988</v>
          </cell>
          <cell r="AA220">
            <v>2408.2317250000006</v>
          </cell>
          <cell r="AB220">
            <v>2534.9396000000006</v>
          </cell>
          <cell r="AC220">
            <v>3077.3311692307689</v>
          </cell>
          <cell r="AD220">
            <v>2810.0203000000001</v>
          </cell>
          <cell r="AE220">
            <v>2492.4538999999995</v>
          </cell>
          <cell r="AF220">
            <v>2979.0258000000003</v>
          </cell>
          <cell r="AG220">
            <v>4094.2000000000007</v>
          </cell>
        </row>
        <row r="221">
          <cell r="F221">
            <v>-33</v>
          </cell>
          <cell r="G221">
            <v>-24</v>
          </cell>
          <cell r="H221">
            <v>-39</v>
          </cell>
          <cell r="I221">
            <v>-27</v>
          </cell>
          <cell r="J221">
            <v>-30</v>
          </cell>
          <cell r="K221">
            <v>-39</v>
          </cell>
          <cell r="L221">
            <v>-40</v>
          </cell>
          <cell r="M221">
            <v>-78</v>
          </cell>
          <cell r="N221">
            <v>-42</v>
          </cell>
          <cell r="O221">
            <v>-41</v>
          </cell>
          <cell r="P221">
            <v>-39</v>
          </cell>
          <cell r="Q221">
            <v>-55</v>
          </cell>
          <cell r="R221">
            <v>-974</v>
          </cell>
          <cell r="S221">
            <v>-44</v>
          </cell>
          <cell r="T221">
            <v>-70</v>
          </cell>
          <cell r="U221">
            <v>2</v>
          </cell>
          <cell r="V221">
            <v>-23</v>
          </cell>
          <cell r="W221">
            <v>-23</v>
          </cell>
          <cell r="X221">
            <v>-29</v>
          </cell>
          <cell r="Y221">
            <v>-37</v>
          </cell>
          <cell r="Z221">
            <v>-34.296900000000001</v>
          </cell>
          <cell r="AA221">
            <v>-39.782299999999999</v>
          </cell>
          <cell r="AB221">
            <v>-62.4208</v>
          </cell>
          <cell r="AC221">
            <v>-36.265138461538442</v>
          </cell>
          <cell r="AD221">
            <v>-86.763575000000003</v>
          </cell>
          <cell r="AE221">
            <v>10.732346428571432</v>
          </cell>
          <cell r="AF221">
            <v>-86.068771428571424</v>
          </cell>
          <cell r="AG221">
            <v>-65.900000000000006</v>
          </cell>
        </row>
        <row r="222">
          <cell r="F222">
            <v>346</v>
          </cell>
          <cell r="G222">
            <v>818.7</v>
          </cell>
          <cell r="H222">
            <v>16.299999999999955</v>
          </cell>
          <cell r="I222">
            <v>617</v>
          </cell>
          <cell r="J222">
            <v>943</v>
          </cell>
          <cell r="K222">
            <v>2052</v>
          </cell>
          <cell r="L222">
            <v>1894</v>
          </cell>
          <cell r="M222">
            <v>916</v>
          </cell>
          <cell r="N222">
            <v>1815</v>
          </cell>
          <cell r="O222">
            <v>1570</v>
          </cell>
          <cell r="P222">
            <v>2254</v>
          </cell>
          <cell r="Q222">
            <v>1976</v>
          </cell>
          <cell r="R222">
            <v>2634</v>
          </cell>
          <cell r="S222">
            <v>1858</v>
          </cell>
          <cell r="T222">
            <v>1749</v>
          </cell>
          <cell r="U222">
            <v>1895.7714193461543</v>
          </cell>
          <cell r="V222">
            <v>2308</v>
          </cell>
          <cell r="W222">
            <v>2529</v>
          </cell>
          <cell r="X222">
            <v>2371</v>
          </cell>
          <cell r="Y222">
            <v>1926</v>
          </cell>
          <cell r="Z222">
            <v>2506.5317749999986</v>
          </cell>
          <cell r="AA222">
            <v>2368.4494250000007</v>
          </cell>
          <cell r="AB222">
            <v>2472.5188000000007</v>
          </cell>
          <cell r="AC222">
            <v>3041.0660307692306</v>
          </cell>
          <cell r="AD222">
            <v>2723.2567250000002</v>
          </cell>
          <cell r="AE222">
            <v>2503.1862464285705</v>
          </cell>
          <cell r="AF222">
            <v>2892.957028571429</v>
          </cell>
          <cell r="AG222">
            <v>4028.3000000000011</v>
          </cell>
        </row>
        <row r="224">
          <cell r="F224">
            <v>4937</v>
          </cell>
          <cell r="G224">
            <v>5559.7000000000007</v>
          </cell>
          <cell r="H224">
            <v>5786.2999999999993</v>
          </cell>
          <cell r="I224">
            <v>5904</v>
          </cell>
          <cell r="J224">
            <v>5714</v>
          </cell>
          <cell r="K224">
            <v>6290</v>
          </cell>
          <cell r="L224">
            <v>5509</v>
          </cell>
          <cell r="M224">
            <v>6100</v>
          </cell>
          <cell r="N224">
            <v>6051</v>
          </cell>
          <cell r="O224">
            <v>6047</v>
          </cell>
          <cell r="P224">
            <v>6204</v>
          </cell>
          <cell r="Q224">
            <v>6943</v>
          </cell>
          <cell r="R224">
            <v>6658</v>
          </cell>
          <cell r="S224">
            <v>6774</v>
          </cell>
          <cell r="T224">
            <v>6535</v>
          </cell>
          <cell r="U224">
            <v>7240</v>
          </cell>
          <cell r="V224">
            <v>7049</v>
          </cell>
          <cell r="W224">
            <v>7107</v>
          </cell>
          <cell r="X224">
            <v>7325</v>
          </cell>
          <cell r="Y224">
            <v>7368</v>
          </cell>
          <cell r="Z224">
            <v>7905.4354500000009</v>
          </cell>
          <cell r="AA224">
            <v>7973.1561499999971</v>
          </cell>
          <cell r="AB224">
            <v>7745.0084000000006</v>
          </cell>
          <cell r="AC224">
            <v>8672.1520307692299</v>
          </cell>
          <cell r="AD224">
            <v>8603.5880500000003</v>
          </cell>
          <cell r="AE224">
            <v>8579.4696071428534</v>
          </cell>
          <cell r="AF224">
            <v>9332.0423428571448</v>
          </cell>
          <cell r="AG224">
            <v>10225.099999999999</v>
          </cell>
        </row>
        <row r="225">
          <cell r="F225">
            <v>-3760</v>
          </cell>
          <cell r="G225">
            <v>-3966</v>
          </cell>
          <cell r="H225">
            <v>-3759</v>
          </cell>
          <cell r="I225">
            <v>-3739</v>
          </cell>
          <cell r="J225">
            <v>-3474</v>
          </cell>
          <cell r="K225">
            <v>-3749</v>
          </cell>
          <cell r="L225">
            <v>-3489</v>
          </cell>
          <cell r="M225">
            <v>-3520</v>
          </cell>
          <cell r="N225">
            <v>-3737</v>
          </cell>
          <cell r="O225">
            <v>-3767</v>
          </cell>
          <cell r="P225">
            <v>-3790</v>
          </cell>
          <cell r="Q225">
            <v>-3810</v>
          </cell>
          <cell r="R225">
            <v>-3897</v>
          </cell>
          <cell r="S225">
            <v>-3934</v>
          </cell>
          <cell r="T225">
            <v>-3766</v>
          </cell>
          <cell r="U225">
            <v>-4293</v>
          </cell>
          <cell r="V225">
            <v>-4099</v>
          </cell>
          <cell r="W225">
            <v>-3965</v>
          </cell>
          <cell r="X225">
            <v>-4199</v>
          </cell>
          <cell r="Y225">
            <v>-4155</v>
          </cell>
          <cell r="Z225">
            <v>-4144.2087500000007</v>
          </cell>
          <cell r="AA225">
            <v>-4243.8360499999972</v>
          </cell>
          <cell r="AB225">
            <v>-4239.6552000000029</v>
          </cell>
          <cell r="AC225">
            <v>-4711.1225846153866</v>
          </cell>
          <cell r="AD225">
            <v>-4402.5517250000003</v>
          </cell>
          <cell r="AE225">
            <v>-4670.508217857142</v>
          </cell>
          <cell r="AF225">
            <v>-4527.240057142857</v>
          </cell>
          <cell r="AG225">
            <v>-4771.1000000000022</v>
          </cell>
        </row>
        <row r="226">
          <cell r="F226">
            <v>1177</v>
          </cell>
          <cell r="G226">
            <v>1593.6999999999998</v>
          </cell>
          <cell r="H226">
            <v>2027.3000000000002</v>
          </cell>
          <cell r="I226">
            <v>2165</v>
          </cell>
          <cell r="J226">
            <v>2240</v>
          </cell>
          <cell r="K226">
            <v>2541</v>
          </cell>
          <cell r="L226">
            <v>2020</v>
          </cell>
          <cell r="M226">
            <v>2580</v>
          </cell>
          <cell r="N226">
            <v>2314</v>
          </cell>
          <cell r="O226">
            <v>2280</v>
          </cell>
          <cell r="P226">
            <v>2414</v>
          </cell>
          <cell r="Q226">
            <v>3133</v>
          </cell>
          <cell r="R226">
            <v>2761</v>
          </cell>
          <cell r="S226">
            <v>2840</v>
          </cell>
          <cell r="T226">
            <v>2769</v>
          </cell>
          <cell r="U226">
            <v>2947</v>
          </cell>
          <cell r="V226">
            <v>2950</v>
          </cell>
          <cell r="W226">
            <v>3142</v>
          </cell>
          <cell r="X226">
            <v>3126</v>
          </cell>
          <cell r="Y226">
            <v>3213</v>
          </cell>
          <cell r="Z226">
            <v>3761.2267000000011</v>
          </cell>
          <cell r="AA226">
            <v>3729.3200999999972</v>
          </cell>
          <cell r="AB226">
            <v>3505.3531999999996</v>
          </cell>
          <cell r="AC226">
            <v>3961.0294461538451</v>
          </cell>
          <cell r="AD226">
            <v>4201.0363250000009</v>
          </cell>
          <cell r="AE226">
            <v>3908.9613892857114</v>
          </cell>
          <cell r="AF226">
            <v>4804.8022857142869</v>
          </cell>
          <cell r="AG226">
            <v>5453.9999999999964</v>
          </cell>
        </row>
        <row r="230">
          <cell r="Z230">
            <v>1051.7716</v>
          </cell>
          <cell r="AA230">
            <v>1102.2235999999998</v>
          </cell>
          <cell r="AB230">
            <v>745.30480000000034</v>
          </cell>
          <cell r="AC230">
            <v>1116.7814153846157</v>
          </cell>
          <cell r="AD230">
            <v>1041.1629</v>
          </cell>
          <cell r="AE230">
            <v>1408.7322428571426</v>
          </cell>
          <cell r="AF230">
            <v>953.00485714285742</v>
          </cell>
          <cell r="AG230">
            <v>1186.9000000000001</v>
          </cell>
        </row>
        <row r="231">
          <cell r="Z231">
            <v>4109.9118500000004</v>
          </cell>
          <cell r="AA231">
            <v>4241.0933499999992</v>
          </cell>
          <cell r="AB231">
            <v>4428.5948000000008</v>
          </cell>
          <cell r="AC231">
            <v>4782.9676000000018</v>
          </cell>
          <cell r="AD231">
            <v>4881.1508000000003</v>
          </cell>
          <cell r="AE231">
            <v>5228.1866285714268</v>
          </cell>
          <cell r="AF231">
            <v>5741.0625714285725</v>
          </cell>
          <cell r="AG231">
            <v>6502.5000000000018</v>
          </cell>
        </row>
        <row r="232">
          <cell r="Z232">
            <v>1594.80585</v>
          </cell>
          <cell r="AA232">
            <v>1733.0597499999997</v>
          </cell>
          <cell r="AB232">
            <v>1831.8344000000002</v>
          </cell>
          <cell r="AC232">
            <v>1886.8518769230777</v>
          </cell>
          <cell r="AD232">
            <v>1878.011575</v>
          </cell>
          <cell r="AE232">
            <v>1855.9665392857137</v>
          </cell>
          <cell r="AF232">
            <v>1971.6218857142867</v>
          </cell>
          <cell r="AG232">
            <v>1962.1000000000004</v>
          </cell>
        </row>
        <row r="233">
          <cell r="Z233">
            <v>-28.580750000000002</v>
          </cell>
          <cell r="AA233">
            <v>28.580750000000002</v>
          </cell>
          <cell r="AB233">
            <v>0.4</v>
          </cell>
          <cell r="AC233">
            <v>-0.4</v>
          </cell>
          <cell r="AD233">
            <v>0</v>
          </cell>
          <cell r="AE233">
            <v>0</v>
          </cell>
          <cell r="AF233">
            <v>0.5</v>
          </cell>
          <cell r="AG233">
            <v>0.19999999999999996</v>
          </cell>
        </row>
        <row r="234"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Z235">
            <v>111.46492500000001</v>
          </cell>
          <cell r="AA235">
            <v>105.07427499999996</v>
          </cell>
          <cell r="AB235">
            <v>28.560800000000029</v>
          </cell>
          <cell r="AC235">
            <v>128.75243076923076</v>
          </cell>
          <cell r="AD235">
            <v>179.12480000000002</v>
          </cell>
          <cell r="AE235">
            <v>12.361257142857113</v>
          </cell>
          <cell r="AF235">
            <v>12.213942857142854</v>
          </cell>
          <cell r="AG235">
            <v>132.90000000000003</v>
          </cell>
        </row>
        <row r="236">
          <cell r="Z236">
            <v>0</v>
          </cell>
          <cell r="AA236">
            <v>2.8491999999999997</v>
          </cell>
          <cell r="AB236">
            <v>18.6508</v>
          </cell>
          <cell r="AC236">
            <v>3.9899384615384612</v>
          </cell>
          <cell r="AD236">
            <v>0</v>
          </cell>
          <cell r="AE236">
            <v>92.927057142857137</v>
          </cell>
          <cell r="AF236">
            <v>22.772942857142866</v>
          </cell>
          <cell r="AG236">
            <v>7.5999999999999943</v>
          </cell>
        </row>
        <row r="237">
          <cell r="Z237">
            <v>125.75530000000002</v>
          </cell>
          <cell r="AA237">
            <v>127.82349999999995</v>
          </cell>
          <cell r="AB237">
            <v>135.72120000000004</v>
          </cell>
          <cell r="AC237">
            <v>154.48535384615383</v>
          </cell>
          <cell r="AD237">
            <v>153.93537499999999</v>
          </cell>
          <cell r="AE237">
            <v>200.87702499999997</v>
          </cell>
          <cell r="AF237">
            <v>200.38760000000008</v>
          </cell>
          <cell r="AG237">
            <v>190.19999999999993</v>
          </cell>
        </row>
        <row r="238">
          <cell r="Z238">
            <v>6965.1287750000001</v>
          </cell>
          <cell r="AA238">
            <v>7340.704424999999</v>
          </cell>
          <cell r="AB238">
            <v>7189.0668000000023</v>
          </cell>
          <cell r="AC238">
            <v>8073.4286153846151</v>
          </cell>
          <cell r="AD238">
            <v>8133.3854500000007</v>
          </cell>
          <cell r="AE238">
            <v>8799.0507499999949</v>
          </cell>
          <cell r="AF238">
            <v>8901.5638000000035</v>
          </cell>
          <cell r="AG238">
            <v>9982.4000000000015</v>
          </cell>
        </row>
        <row r="239">
          <cell r="Z239">
            <v>2855.2169249999997</v>
          </cell>
          <cell r="AA239">
            <v>3099.6110749999989</v>
          </cell>
          <cell r="AB239">
            <v>2760.4720000000007</v>
          </cell>
          <cell r="AC239">
            <v>3290.4610153846152</v>
          </cell>
          <cell r="AD239">
            <v>3252.2346500000003</v>
          </cell>
          <cell r="AE239">
            <v>3570.8641214285708</v>
          </cell>
          <cell r="AF239">
            <v>3160.5012285714292</v>
          </cell>
          <cell r="AG239">
            <v>3479.8999999999996</v>
          </cell>
        </row>
        <row r="242">
          <cell r="Z242">
            <v>-382.98205000000002</v>
          </cell>
          <cell r="AA242">
            <v>-437.58754999999991</v>
          </cell>
          <cell r="AB242">
            <v>-386.33040000000017</v>
          </cell>
          <cell r="AC242">
            <v>-665.19436923076887</v>
          </cell>
          <cell r="AD242">
            <v>-722.09685000000002</v>
          </cell>
          <cell r="AE242">
            <v>-1091.3887500000001</v>
          </cell>
          <cell r="AF242">
            <v>-540.21439999999984</v>
          </cell>
          <cell r="AG242">
            <v>-905.40000000000009</v>
          </cell>
        </row>
        <row r="243">
          <cell r="Z243">
            <v>-1300.424125</v>
          </cell>
          <cell r="AA243">
            <v>-1363.5778749999999</v>
          </cell>
          <cell r="AB243">
            <v>-1440.8979999999997</v>
          </cell>
          <cell r="AC243">
            <v>-1398.0944923076931</v>
          </cell>
          <cell r="AD243">
            <v>-1424.6019249999999</v>
          </cell>
          <cell r="AE243">
            <v>-1518.0882178571428</v>
          </cell>
          <cell r="AF243">
            <v>-1707.9098571428576</v>
          </cell>
          <cell r="AG243">
            <v>-1777.1999999999998</v>
          </cell>
        </row>
        <row r="244">
          <cell r="Z244">
            <v>-168.62642500000001</v>
          </cell>
          <cell r="AA244">
            <v>-224.56317499999997</v>
          </cell>
          <cell r="AB244">
            <v>-261.71039999999999</v>
          </cell>
          <cell r="AC244">
            <v>-276.89886153846146</v>
          </cell>
          <cell r="AD244">
            <v>-243.49777499999999</v>
          </cell>
          <cell r="AE244">
            <v>-280.27291071428573</v>
          </cell>
          <cell r="AF244">
            <v>-306.8293142857143</v>
          </cell>
          <cell r="AG244">
            <v>-406.6</v>
          </cell>
        </row>
        <row r="245">
          <cell r="Z245">
            <v>-22.864600000000003</v>
          </cell>
          <cell r="AA245">
            <v>-19.873399999999997</v>
          </cell>
          <cell r="AB245">
            <v>-19.061999999999998</v>
          </cell>
          <cell r="AC245">
            <v>-45.82418461538461</v>
          </cell>
          <cell r="AD245">
            <v>-47.580024999999999</v>
          </cell>
          <cell r="AE245">
            <v>-48.163003571428568</v>
          </cell>
          <cell r="AF245">
            <v>-45.756971428571433</v>
          </cell>
          <cell r="AG245">
            <v>-55.800000000000011</v>
          </cell>
        </row>
        <row r="246">
          <cell r="Z246">
            <v>0</v>
          </cell>
          <cell r="AA246">
            <v>0</v>
          </cell>
          <cell r="AB246">
            <v>40.700000000000003</v>
          </cell>
          <cell r="AC246">
            <v>-40.700000000000003</v>
          </cell>
          <cell r="AD246">
            <v>0</v>
          </cell>
          <cell r="AE246">
            <v>0</v>
          </cell>
          <cell r="AF246">
            <v>-7.7</v>
          </cell>
          <cell r="AG246">
            <v>4.9000000000000004</v>
          </cell>
        </row>
        <row r="247">
          <cell r="Z247">
            <v>-1874.8971999999999</v>
          </cell>
          <cell r="AA247">
            <v>-2045.6019999999994</v>
          </cell>
          <cell r="AB247">
            <v>-2067.3008000000009</v>
          </cell>
          <cell r="AC247">
            <v>-2426.7119076923072</v>
          </cell>
          <cell r="AD247">
            <v>-2437.7765749999999</v>
          </cell>
          <cell r="AE247">
            <v>-2937.9128821428567</v>
          </cell>
          <cell r="AF247">
            <v>-2608.4105428571438</v>
          </cell>
          <cell r="AG247">
            <v>-3140.0999999999985</v>
          </cell>
        </row>
        <row r="248"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-5.8</v>
          </cell>
          <cell r="AG248">
            <v>5.3</v>
          </cell>
        </row>
        <row r="249">
          <cell r="Z249">
            <v>5090.2315749999998</v>
          </cell>
          <cell r="AA249">
            <v>5295.1024249999991</v>
          </cell>
          <cell r="AB249">
            <v>5121.7660000000014</v>
          </cell>
          <cell r="AC249">
            <v>5646.7167076923051</v>
          </cell>
          <cell r="AD249">
            <v>5695.6088749999999</v>
          </cell>
          <cell r="AE249">
            <v>5861.1378678571418</v>
          </cell>
          <cell r="AF249">
            <v>6287.3532571428568</v>
          </cell>
          <cell r="AG249">
            <v>6847.6000000000058</v>
          </cell>
        </row>
        <row r="252">
          <cell r="Z252">
            <v>-331.5367</v>
          </cell>
          <cell r="AA252">
            <v>-343.72369999999989</v>
          </cell>
          <cell r="AB252">
            <v>-313.03960000000006</v>
          </cell>
          <cell r="AC252">
            <v>-589.24396923076938</v>
          </cell>
          <cell r="AD252">
            <v>-425.42140000000001</v>
          </cell>
          <cell r="AE252">
            <v>-543.27277142857133</v>
          </cell>
          <cell r="AF252">
            <v>-482.10582857142867</v>
          </cell>
          <cell r="AG252">
            <v>-839.39999999999986</v>
          </cell>
        </row>
        <row r="253">
          <cell r="Z253">
            <v>22.864600000000003</v>
          </cell>
          <cell r="AA253">
            <v>22.722599999999993</v>
          </cell>
          <cell r="AB253">
            <v>17.612800000000007</v>
          </cell>
          <cell r="AC253">
            <v>27.430892307692304</v>
          </cell>
          <cell r="AD253">
            <v>25.189425</v>
          </cell>
          <cell r="AE253">
            <v>25.498060714285714</v>
          </cell>
          <cell r="AF253">
            <v>18.512514285714289</v>
          </cell>
          <cell r="AG253">
            <v>9.8999999999999915</v>
          </cell>
        </row>
        <row r="254">
          <cell r="Z254">
            <v>-308.67210000000006</v>
          </cell>
          <cell r="AA254">
            <v>-321.00109999999989</v>
          </cell>
          <cell r="AB254">
            <v>-295.42680000000007</v>
          </cell>
          <cell r="AC254">
            <v>-561.81307692307689</v>
          </cell>
          <cell r="AD254">
            <v>-400.23197500000003</v>
          </cell>
          <cell r="AE254">
            <v>-517.77471071428567</v>
          </cell>
          <cell r="AF254">
            <v>-463.5933142857142</v>
          </cell>
          <cell r="AG254">
            <v>-829.5</v>
          </cell>
        </row>
        <row r="257">
          <cell r="Z257">
            <v>465.86622500000004</v>
          </cell>
          <cell r="AA257">
            <v>394.59217499999983</v>
          </cell>
          <cell r="AB257">
            <v>409.84160000000008</v>
          </cell>
          <cell r="AC257">
            <v>426.19701538461527</v>
          </cell>
          <cell r="AD257">
            <v>447.81200000000001</v>
          </cell>
          <cell r="AE257">
            <v>453.29885714285706</v>
          </cell>
          <cell r="AF257">
            <v>448.48914285714284</v>
          </cell>
          <cell r="AG257">
            <v>491.20000000000005</v>
          </cell>
        </row>
        <row r="258">
          <cell r="Z258">
            <v>1314.7145</v>
          </cell>
          <cell r="AA258">
            <v>1360.6842999999999</v>
          </cell>
          <cell r="AB258">
            <v>1333.0012000000002</v>
          </cell>
          <cell r="AC258">
            <v>1403.9635999999996</v>
          </cell>
          <cell r="AD258">
            <v>1365.8265999999999</v>
          </cell>
          <cell r="AE258">
            <v>1402.2733142857142</v>
          </cell>
          <cell r="AF258">
            <v>1375.1000857142858</v>
          </cell>
          <cell r="AG258">
            <v>1402.5999999999995</v>
          </cell>
        </row>
        <row r="259">
          <cell r="Z259">
            <v>240.07830000000001</v>
          </cell>
          <cell r="AA259">
            <v>324.06329999999991</v>
          </cell>
          <cell r="AB259">
            <v>225.05840000000012</v>
          </cell>
          <cell r="AC259">
            <v>372.00830769230765</v>
          </cell>
          <cell r="AD259">
            <v>307.87074999999999</v>
          </cell>
          <cell r="AE259">
            <v>283.48324999999994</v>
          </cell>
          <cell r="AF259">
            <v>324.84600000000012</v>
          </cell>
          <cell r="AG259">
            <v>397.19999999999982</v>
          </cell>
        </row>
        <row r="260">
          <cell r="Z260">
            <v>154.33605000000003</v>
          </cell>
          <cell r="AA260">
            <v>170.47274999999993</v>
          </cell>
          <cell r="AB260">
            <v>149.69120000000004</v>
          </cell>
          <cell r="AC260">
            <v>208.06390769230768</v>
          </cell>
          <cell r="AD260">
            <v>162.33185</v>
          </cell>
          <cell r="AE260">
            <v>178.40069285714284</v>
          </cell>
          <cell r="AF260">
            <v>180.9674571428572</v>
          </cell>
          <cell r="AG260">
            <v>216.69999999999993</v>
          </cell>
        </row>
        <row r="261">
          <cell r="Z261">
            <v>14.290375000000001</v>
          </cell>
          <cell r="AA261">
            <v>22.749224999999999</v>
          </cell>
          <cell r="AB261">
            <v>22.9604</v>
          </cell>
          <cell r="AC261">
            <v>30.630892307692307</v>
          </cell>
          <cell r="AD261">
            <v>16.792950000000001</v>
          </cell>
          <cell r="AE261">
            <v>19.814678571428569</v>
          </cell>
          <cell r="AF261">
            <v>24.792371428571428</v>
          </cell>
          <cell r="AG261">
            <v>37.500000000000007</v>
          </cell>
        </row>
        <row r="262">
          <cell r="Z262">
            <v>71.451875000000001</v>
          </cell>
          <cell r="AA262">
            <v>130.84132499999998</v>
          </cell>
          <cell r="AB262">
            <v>52.406800000000004</v>
          </cell>
          <cell r="AC262">
            <v>133.31350769230767</v>
          </cell>
          <cell r="AD262">
            <v>128.74594999999999</v>
          </cell>
          <cell r="AE262">
            <v>85.267878571428554</v>
          </cell>
          <cell r="AF262">
            <v>119.08617142857148</v>
          </cell>
          <cell r="AG262">
            <v>142.99999999999994</v>
          </cell>
        </row>
        <row r="263">
          <cell r="Z263">
            <v>28.580750000000002</v>
          </cell>
          <cell r="AA263">
            <v>22.704849999999993</v>
          </cell>
          <cell r="AB263">
            <v>24.414400000000008</v>
          </cell>
          <cell r="AC263">
            <v>26.259753846153842</v>
          </cell>
          <cell r="AD263">
            <v>33.585900000000002</v>
          </cell>
          <cell r="AE263">
            <v>36.813385714285708</v>
          </cell>
          <cell r="AF263">
            <v>41.300714285714292</v>
          </cell>
          <cell r="AG263">
            <v>38.799999999999997</v>
          </cell>
        </row>
        <row r="264">
          <cell r="Z264">
            <v>157.19412500000001</v>
          </cell>
          <cell r="AA264">
            <v>204.65427499999996</v>
          </cell>
          <cell r="AB264">
            <v>121.25160000000005</v>
          </cell>
          <cell r="AC264">
            <v>173.97396923076917</v>
          </cell>
          <cell r="AD264">
            <v>156.73419999999999</v>
          </cell>
          <cell r="AE264">
            <v>164.28654285714288</v>
          </cell>
          <cell r="AF264">
            <v>125.77925714285715</v>
          </cell>
          <cell r="AG264">
            <v>299.40000000000003</v>
          </cell>
        </row>
        <row r="265">
          <cell r="Z265">
            <v>8.5742250000000002</v>
          </cell>
          <cell r="AA265">
            <v>8.5209749999999982</v>
          </cell>
          <cell r="AB265">
            <v>8.6048000000000009</v>
          </cell>
          <cell r="AC265">
            <v>11.118800000000004</v>
          </cell>
          <cell r="AD265">
            <v>8.3964750000000006</v>
          </cell>
          <cell r="AE265">
            <v>8.4993535714285695</v>
          </cell>
          <cell r="AF265">
            <v>4.9041714285714306</v>
          </cell>
          <cell r="AG265">
            <v>8.8000000000000007</v>
          </cell>
        </row>
        <row r="266">
          <cell r="Z266">
            <v>2.8580750000000004</v>
          </cell>
          <cell r="AA266">
            <v>19.935524999999998</v>
          </cell>
          <cell r="AB266">
            <v>5.1064000000000007</v>
          </cell>
          <cell r="AC266">
            <v>6.0865846153846164</v>
          </cell>
          <cell r="AD266">
            <v>19.591774999999998</v>
          </cell>
          <cell r="AE266">
            <v>45.175567857142852</v>
          </cell>
          <cell r="AF266">
            <v>9.1326571428571555</v>
          </cell>
          <cell r="AG266">
            <v>8.4000000000000057</v>
          </cell>
        </row>
        <row r="267">
          <cell r="Z267">
            <v>17.14845</v>
          </cell>
          <cell r="AA267">
            <v>39.835549999999998</v>
          </cell>
          <cell r="AB267">
            <v>6.4160000000000039</v>
          </cell>
          <cell r="AC267">
            <v>7.4053846153846123</v>
          </cell>
          <cell r="AD267">
            <v>5.5976500000000007</v>
          </cell>
          <cell r="AE267">
            <v>25.378035714285712</v>
          </cell>
          <cell r="AF267">
            <v>38.724314285714286</v>
          </cell>
          <cell r="AG267">
            <v>44.700000000000031</v>
          </cell>
        </row>
        <row r="268">
          <cell r="Z268">
            <v>2235.0146500000001</v>
          </cell>
          <cell r="AA268">
            <v>2374.9909499999994</v>
          </cell>
          <cell r="AB268">
            <v>2133.6944000000003</v>
          </cell>
          <cell r="AC268">
            <v>2427.0134153846166</v>
          </cell>
          <cell r="AD268">
            <v>2345.4153499999998</v>
          </cell>
          <cell r="AE268">
            <v>2419.2083071428565</v>
          </cell>
          <cell r="AF268">
            <v>2368.2763428571434</v>
          </cell>
          <cell r="AG268">
            <v>2691.1000000000004</v>
          </cell>
        </row>
        <row r="269">
          <cell r="Z269">
            <v>214.35562499999997</v>
          </cell>
          <cell r="AA269">
            <v>295.65117499999991</v>
          </cell>
          <cell r="AB269">
            <v>165.79320000000018</v>
          </cell>
          <cell r="AC269">
            <v>224.84449230769224</v>
          </cell>
          <cell r="AD269">
            <v>223.90600000000001</v>
          </cell>
          <cell r="AE269">
            <v>280.15288571428573</v>
          </cell>
          <cell r="AF269">
            <v>219.84111428571424</v>
          </cell>
          <cell r="AG269">
            <v>400.10000000000025</v>
          </cell>
        </row>
        <row r="272">
          <cell r="Z272">
            <v>102.89070000000001</v>
          </cell>
          <cell r="AA272">
            <v>-196.9143</v>
          </cell>
          <cell r="AB272">
            <v>85.523599999999988</v>
          </cell>
          <cell r="AC272">
            <v>203.92286153846155</v>
          </cell>
          <cell r="AD272">
            <v>268.68720000000002</v>
          </cell>
          <cell r="AE272">
            <v>97.38908571428567</v>
          </cell>
          <cell r="AF272">
            <v>-276.57628571428569</v>
          </cell>
          <cell r="AG272">
            <v>-204.19999999999993</v>
          </cell>
        </row>
        <row r="273">
          <cell r="Z273">
            <v>405.84665000000001</v>
          </cell>
          <cell r="AA273">
            <v>443.21494999999987</v>
          </cell>
          <cell r="AB273">
            <v>258.93840000000012</v>
          </cell>
          <cell r="AC273">
            <v>257.12781538461536</v>
          </cell>
          <cell r="AD273">
            <v>193.11892500000002</v>
          </cell>
          <cell r="AE273">
            <v>141.98167499999997</v>
          </cell>
          <cell r="AF273">
            <v>750.99939999999992</v>
          </cell>
          <cell r="AG273">
            <v>761.60000000000014</v>
          </cell>
        </row>
        <row r="274">
          <cell r="Z274">
            <v>508.73735000000005</v>
          </cell>
          <cell r="AA274">
            <v>246.30064999999985</v>
          </cell>
          <cell r="AB274">
            <v>344.4620000000001</v>
          </cell>
          <cell r="AC274">
            <v>461.05067692307694</v>
          </cell>
          <cell r="AD274">
            <v>461.80612500000001</v>
          </cell>
          <cell r="AE274">
            <v>239.37076071428561</v>
          </cell>
          <cell r="AF274">
            <v>474.42311428571429</v>
          </cell>
          <cell r="AG274">
            <v>557.40000000000009</v>
          </cell>
        </row>
        <row r="277">
          <cell r="Z277">
            <v>-1754.85805</v>
          </cell>
          <cell r="AA277">
            <v>-1857.9275499999997</v>
          </cell>
          <cell r="AB277">
            <v>-1919.9144000000001</v>
          </cell>
          <cell r="AC277">
            <v>-2216.2412923076927</v>
          </cell>
          <cell r="AD277">
            <v>-1894.8045250000002</v>
          </cell>
          <cell r="AE277">
            <v>-2030.659646428571</v>
          </cell>
          <cell r="AF277">
            <v>-2128.0358285714287</v>
          </cell>
          <cell r="AG277">
            <v>-2392</v>
          </cell>
        </row>
        <row r="278">
          <cell r="Z278">
            <v>-1520.4959000000001</v>
          </cell>
          <cell r="AA278">
            <v>-1553.7908999999997</v>
          </cell>
          <cell r="AB278">
            <v>-1466.3132000000005</v>
          </cell>
          <cell r="AC278">
            <v>-1695.938276923076</v>
          </cell>
          <cell r="AD278">
            <v>-1668.0997</v>
          </cell>
          <cell r="AE278">
            <v>-1784.2812714285708</v>
          </cell>
          <cell r="AF278">
            <v>-1660.1190285714292</v>
          </cell>
          <cell r="AG278">
            <v>-1541.6999999999998</v>
          </cell>
        </row>
        <row r="279">
          <cell r="Z279">
            <v>-868.85480000000007</v>
          </cell>
          <cell r="AA279">
            <v>-832.11759999999981</v>
          </cell>
          <cell r="AB279">
            <v>-853.42760000000021</v>
          </cell>
          <cell r="AC279">
            <v>-798.94301538461559</v>
          </cell>
          <cell r="AD279">
            <v>-839.64750000000004</v>
          </cell>
          <cell r="AE279">
            <v>-855.56729999999993</v>
          </cell>
          <cell r="AF279">
            <v>-739.08520000000021</v>
          </cell>
          <cell r="AG279">
            <v>-837.39999999999964</v>
          </cell>
        </row>
        <row r="280">
          <cell r="Z280">
            <v>-4144.2087500000007</v>
          </cell>
          <cell r="AA280">
            <v>-4243.8360499999972</v>
          </cell>
          <cell r="AB280">
            <v>-4239.6552000000029</v>
          </cell>
          <cell r="AC280">
            <v>-4711.1225846153866</v>
          </cell>
          <cell r="AD280">
            <v>-4402.5517250000003</v>
          </cell>
          <cell r="AE280">
            <v>-4670.508217857142</v>
          </cell>
          <cell r="AF280">
            <v>-4527.240057142857</v>
          </cell>
          <cell r="AG280">
            <v>-4771.1000000000022</v>
          </cell>
        </row>
        <row r="283">
          <cell r="Z283">
            <v>951.73897499999998</v>
          </cell>
          <cell r="AA283">
            <v>1111.081825</v>
          </cell>
          <cell r="AB283">
            <v>984.47920000000022</v>
          </cell>
          <cell r="AC283">
            <v>1404.9425846153845</v>
          </cell>
          <cell r="AD283">
            <v>1514.1643250000002</v>
          </cell>
          <cell r="AE283">
            <v>1653.8035321428565</v>
          </cell>
          <cell r="AF283">
            <v>1495.7321428571431</v>
          </cell>
          <cell r="AG283">
            <v>1793.6999999999998</v>
          </cell>
        </row>
        <row r="284">
          <cell r="Z284">
            <v>134.32952500000002</v>
          </cell>
          <cell r="AA284">
            <v>-0.41712500000002706</v>
          </cell>
          <cell r="AB284">
            <v>175.88760000000002</v>
          </cell>
          <cell r="AC284">
            <v>202.83098461538469</v>
          </cell>
          <cell r="AD284">
            <v>151.13655</v>
          </cell>
          <cell r="AE284">
            <v>102.30087857142854</v>
          </cell>
          <cell r="AF284">
            <v>110.66257142857148</v>
          </cell>
          <cell r="AG284">
            <v>77</v>
          </cell>
        </row>
        <row r="285">
          <cell r="Z285">
            <v>-277.23327499999999</v>
          </cell>
          <cell r="AA285">
            <v>-301.15432500000003</v>
          </cell>
          <cell r="AB285">
            <v>-331.91239999999993</v>
          </cell>
          <cell r="AC285">
            <v>-398.18350769230778</v>
          </cell>
          <cell r="AD285">
            <v>-671.71800000000007</v>
          </cell>
          <cell r="AE285">
            <v>-1096.7120571428568</v>
          </cell>
          <cell r="AF285">
            <v>-979.76994285714295</v>
          </cell>
          <cell r="AG285">
            <v>-993.40000000000009</v>
          </cell>
        </row>
        <row r="286">
          <cell r="Z286">
            <v>-585.90537500000005</v>
          </cell>
          <cell r="AA286">
            <v>-550.9254249999999</v>
          </cell>
          <cell r="AB286">
            <v>-573.76919999999996</v>
          </cell>
          <cell r="AC286">
            <v>-971.5079692307695</v>
          </cell>
          <cell r="AD286">
            <v>-738.88979999999992</v>
          </cell>
          <cell r="AE286">
            <v>-421.29042857142872</v>
          </cell>
          <cell r="AF286">
            <v>-216.71977142857145</v>
          </cell>
          <cell r="AG286">
            <v>-562.69999999999982</v>
          </cell>
        </row>
        <row r="287">
          <cell r="Z287">
            <v>-14.290375000000001</v>
          </cell>
          <cell r="AA287">
            <v>-11.352424999999997</v>
          </cell>
          <cell r="AB287">
            <v>-2.8572000000000024</v>
          </cell>
          <cell r="AC287">
            <v>-22.479876923076922</v>
          </cell>
          <cell r="AD287">
            <v>-8.3964750000000006</v>
          </cell>
          <cell r="AE287">
            <v>5.5805035714285722</v>
          </cell>
          <cell r="AF287">
            <v>17.115971428571427</v>
          </cell>
          <cell r="AG287">
            <v>23.7</v>
          </cell>
        </row>
        <row r="288">
          <cell r="Z288">
            <v>-151.47797500000001</v>
          </cell>
          <cell r="AA288">
            <v>-159.08482499999997</v>
          </cell>
          <cell r="AB288">
            <v>-159.93720000000002</v>
          </cell>
          <cell r="AC288">
            <v>-129.92966153846146</v>
          </cell>
          <cell r="AD288">
            <v>-170.72832499999998</v>
          </cell>
          <cell r="AE288">
            <v>-220.69170357142855</v>
          </cell>
          <cell r="AF288">
            <v>-211.87997142857142</v>
          </cell>
          <cell r="AG288">
            <v>-195.30000000000007</v>
          </cell>
        </row>
        <row r="289">
          <cell r="Z289">
            <v>8.5742250000000002</v>
          </cell>
          <cell r="AA289">
            <v>-25.669424999999997</v>
          </cell>
          <cell r="AB289">
            <v>35.095199999999998</v>
          </cell>
          <cell r="AC289">
            <v>27.315446153846153</v>
          </cell>
          <cell r="AD289">
            <v>19.591774999999998</v>
          </cell>
          <cell r="AE289">
            <v>36.727653571428569</v>
          </cell>
          <cell r="AF289">
            <v>-9.7194285714285655</v>
          </cell>
          <cell r="AG289">
            <v>-12.900000000000006</v>
          </cell>
        </row>
        <row r="290">
          <cell r="Z290">
            <v>65.735725000000002</v>
          </cell>
          <cell r="AA290">
            <v>62.478275000000394</v>
          </cell>
          <cell r="AB290">
            <v>126.98599999999959</v>
          </cell>
          <cell r="AC290">
            <v>112.988</v>
          </cell>
          <cell r="AD290">
            <v>95.160049999999998</v>
          </cell>
          <cell r="AE290">
            <v>59.718378571428573</v>
          </cell>
          <cell r="AF290">
            <v>205.42157142857144</v>
          </cell>
          <cell r="AG290">
            <v>130.10000000000014</v>
          </cell>
        </row>
        <row r="291">
          <cell r="Z291">
            <v>140.04567500000002</v>
          </cell>
          <cell r="AA291">
            <v>-140.04567500000002</v>
          </cell>
          <cell r="AB291">
            <v>327.9</v>
          </cell>
          <cell r="AC291">
            <v>230.04643076923071</v>
          </cell>
          <cell r="AD291">
            <v>153.93537499999999</v>
          </cell>
          <cell r="AE291">
            <v>102.31802499999995</v>
          </cell>
          <cell r="AF291">
            <v>110.04660000000007</v>
          </cell>
          <cell r="AG291">
            <v>76.099999999999739</v>
          </cell>
        </row>
        <row r="292">
          <cell r="Z292">
            <v>-134.32952500000002</v>
          </cell>
          <cell r="AA292">
            <v>134.32952500000002</v>
          </cell>
          <cell r="AB292">
            <v>-309.8</v>
          </cell>
          <cell r="AC292">
            <v>-205.66320000000002</v>
          </cell>
          <cell r="AD292">
            <v>-148.33772500000001</v>
          </cell>
          <cell r="AE292">
            <v>-102.28373214285713</v>
          </cell>
          <cell r="AF292">
            <v>-113.47854285714288</v>
          </cell>
          <cell r="AG292">
            <v>-77</v>
          </cell>
        </row>
        <row r="293">
          <cell r="Z293">
            <v>71.451875000000001</v>
          </cell>
          <cell r="AA293">
            <v>56.762125000000395</v>
          </cell>
          <cell r="AB293">
            <v>145.08599999999961</v>
          </cell>
          <cell r="AC293">
            <v>137.37123076923075</v>
          </cell>
          <cell r="AD293">
            <v>100.7577</v>
          </cell>
          <cell r="AE293">
            <v>59.752671428571432</v>
          </cell>
          <cell r="AF293">
            <v>201.98962857142857</v>
          </cell>
          <cell r="AG293">
            <v>129.19999999999993</v>
          </cell>
        </row>
        <row r="296">
          <cell r="Z296">
            <v>122.89722500000001</v>
          </cell>
          <cell r="AA296">
            <v>85.094374999999971</v>
          </cell>
          <cell r="AB296">
            <v>253.10840000000005</v>
          </cell>
          <cell r="AC296">
            <v>1555.4373538461537</v>
          </cell>
          <cell r="AD296">
            <v>389.036675</v>
          </cell>
          <cell r="AE296">
            <v>148.81386785714284</v>
          </cell>
          <cell r="AF296">
            <v>272.8494571428572</v>
          </cell>
          <cell r="AG296">
            <v>1501.7999999999995</v>
          </cell>
        </row>
        <row r="297">
          <cell r="Z297">
            <v>-351.54322500000006</v>
          </cell>
          <cell r="AA297">
            <v>-218.29677499999985</v>
          </cell>
          <cell r="AB297">
            <v>-420.46000000000004</v>
          </cell>
          <cell r="AC297">
            <v>-1179.1769846153845</v>
          </cell>
          <cell r="AD297">
            <v>-537.37440000000004</v>
          </cell>
          <cell r="AE297">
            <v>-459.4794857142856</v>
          </cell>
          <cell r="AF297">
            <v>-535.64611428571436</v>
          </cell>
          <cell r="AG297">
            <v>-1644.3000000000002</v>
          </cell>
        </row>
        <row r="298">
          <cell r="Z298">
            <v>-228.64600000000002</v>
          </cell>
          <cell r="AA298">
            <v>-133.20239999999995</v>
          </cell>
          <cell r="AB298">
            <v>-167.35160000000008</v>
          </cell>
          <cell r="AC298">
            <v>376.26036923076953</v>
          </cell>
          <cell r="AD298">
            <v>-148.33772500000001</v>
          </cell>
          <cell r="AE298">
            <v>-310.66561785714282</v>
          </cell>
          <cell r="AF298">
            <v>-262.7966571428571</v>
          </cell>
          <cell r="AG298">
            <v>-142.50000000000068</v>
          </cell>
        </row>
        <row r="300">
          <cell r="Z300">
            <v>0</v>
          </cell>
          <cell r="AA300">
            <v>-17.095199999999998</v>
          </cell>
          <cell r="AB300">
            <v>79.295199999999994</v>
          </cell>
          <cell r="AC300">
            <v>875.26329230769227</v>
          </cell>
          <cell r="AD300">
            <v>33.585900000000002</v>
          </cell>
          <cell r="AE300">
            <v>-25.137985714285719</v>
          </cell>
          <cell r="AF300">
            <v>8.4520857142857135</v>
          </cell>
          <cell r="AG300">
            <v>316.5</v>
          </cell>
        </row>
        <row r="301">
          <cell r="Z301">
            <v>0</v>
          </cell>
          <cell r="AA301">
            <v>0</v>
          </cell>
          <cell r="AB301">
            <v>-5.3</v>
          </cell>
          <cell r="AC301">
            <v>-147.63963076923076</v>
          </cell>
          <cell r="AD301">
            <v>0</v>
          </cell>
          <cell r="AE301">
            <v>0</v>
          </cell>
          <cell r="AF301">
            <v>0.2</v>
          </cell>
          <cell r="AG301">
            <v>-341.1</v>
          </cell>
        </row>
        <row r="302">
          <cell r="Z302">
            <v>-100.03262500000001</v>
          </cell>
          <cell r="AA302">
            <v>-113.65737499999996</v>
          </cell>
          <cell r="AB302">
            <v>-104.61000000000004</v>
          </cell>
          <cell r="AC302">
            <v>-112.19673846153842</v>
          </cell>
          <cell r="AD302">
            <v>-111.953</v>
          </cell>
          <cell r="AE302">
            <v>-124.58859999999999</v>
          </cell>
          <cell r="AF302">
            <v>-117.6584</v>
          </cell>
          <cell r="AG302">
            <v>-125.30000000000001</v>
          </cell>
        </row>
        <row r="303"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Z304">
            <v>-8.5742250000000002</v>
          </cell>
          <cell r="AA304">
            <v>-5.6717749999999985</v>
          </cell>
          <cell r="AB304">
            <v>-13.054000000000002</v>
          </cell>
          <cell r="AC304">
            <v>-9.5188000000000024</v>
          </cell>
          <cell r="AD304">
            <v>-5.5976500000000007</v>
          </cell>
          <cell r="AE304">
            <v>-14.114149999999995</v>
          </cell>
          <cell r="AF304">
            <v>-12.588200000000001</v>
          </cell>
          <cell r="AG304">
            <v>-18.600000000000001</v>
          </cell>
        </row>
        <row r="305">
          <cell r="Z305">
            <v>-120.03915000000001</v>
          </cell>
          <cell r="AA305">
            <v>3.221950000000021</v>
          </cell>
          <cell r="AB305">
            <v>-123.68280000000001</v>
          </cell>
          <cell r="AC305">
            <v>-229.64775384615388</v>
          </cell>
          <cell r="AD305">
            <v>-64.372974999999997</v>
          </cell>
          <cell r="AE305">
            <v>-146.82488214285712</v>
          </cell>
          <cell r="AF305">
            <v>-141.20214285714286</v>
          </cell>
          <cell r="AG305">
            <v>26.000000000000114</v>
          </cell>
        </row>
        <row r="306">
          <cell r="Z306">
            <v>-228.64600000000002</v>
          </cell>
          <cell r="AA306">
            <v>-133.20239999999995</v>
          </cell>
          <cell r="AB306">
            <v>-167.35160000000008</v>
          </cell>
          <cell r="AC306">
            <v>376.26036923076924</v>
          </cell>
          <cell r="AD306">
            <v>-148.33772500000001</v>
          </cell>
          <cell r="AE306">
            <v>-310.66561785714282</v>
          </cell>
          <cell r="AF306">
            <v>-262.7966571428571</v>
          </cell>
          <cell r="AG306">
            <v>-142.5</v>
          </cell>
        </row>
        <row r="310">
          <cell r="Z310">
            <v>-708.8026000000001</v>
          </cell>
          <cell r="AA310">
            <v>-806.97179999999992</v>
          </cell>
          <cell r="AB310">
            <v>-1082.8255999999999</v>
          </cell>
          <cell r="AC310">
            <v>-1329.6827384615381</v>
          </cell>
          <cell r="AD310">
            <v>-780.87217499999997</v>
          </cell>
          <cell r="AE310">
            <v>-765.09613928571412</v>
          </cell>
          <cell r="AF310">
            <v>-1282.431685714286</v>
          </cell>
          <cell r="AG310">
            <v>-2135.7999999999997</v>
          </cell>
        </row>
        <row r="311">
          <cell r="Z311">
            <v>377.26589999999999</v>
          </cell>
          <cell r="AA311">
            <v>463.24809999999991</v>
          </cell>
          <cell r="AB311">
            <v>769.78600000000006</v>
          </cell>
          <cell r="AC311">
            <v>740.43876923076937</v>
          </cell>
          <cell r="AD311">
            <v>355.45077499999996</v>
          </cell>
          <cell r="AE311">
            <v>221.82336785714284</v>
          </cell>
          <cell r="AF311">
            <v>800.3258571428571</v>
          </cell>
          <cell r="AG311">
            <v>1296.4000000000001</v>
          </cell>
        </row>
        <row r="312">
          <cell r="Z312">
            <v>-5.7161500000000007</v>
          </cell>
          <cell r="AA312">
            <v>-2.8314499999999985</v>
          </cell>
          <cell r="AB312">
            <v>-2.6524000000000001</v>
          </cell>
          <cell r="AC312">
            <v>-2.9610769230769236</v>
          </cell>
          <cell r="AD312">
            <v>-2.7988250000000003</v>
          </cell>
          <cell r="AE312">
            <v>-1.7146428571428007E-2</v>
          </cell>
          <cell r="AF312">
            <v>-3.8840285714285718</v>
          </cell>
          <cell r="AG312">
            <v>-7.8</v>
          </cell>
        </row>
        <row r="313">
          <cell r="Z313">
            <v>28.580750000000002</v>
          </cell>
          <cell r="AA313">
            <v>25.554049999999989</v>
          </cell>
          <cell r="AB313">
            <v>20.265200000000014</v>
          </cell>
          <cell r="AC313">
            <v>30.391969230769234</v>
          </cell>
          <cell r="AD313">
            <v>27.988250000000001</v>
          </cell>
          <cell r="AE313">
            <v>25.515207142857136</v>
          </cell>
          <cell r="AF313">
            <v>22.396542857142869</v>
          </cell>
          <cell r="AG313">
            <v>17.699999999999989</v>
          </cell>
        </row>
        <row r="314">
          <cell r="Z314">
            <v>-308.67210000000006</v>
          </cell>
          <cell r="AA314">
            <v>-321.00109999999989</v>
          </cell>
          <cell r="AB314">
            <v>-295.42680000000007</v>
          </cell>
          <cell r="AC314">
            <v>-561.81307692307689</v>
          </cell>
          <cell r="AD314">
            <v>-400.23197500000003</v>
          </cell>
          <cell r="AE314">
            <v>-517.77471071428567</v>
          </cell>
          <cell r="AF314">
            <v>-463.5933142857142</v>
          </cell>
          <cell r="AG314">
            <v>-829.5</v>
          </cell>
        </row>
        <row r="318">
          <cell r="Z318">
            <v>-1248.9787750000003</v>
          </cell>
          <cell r="AA318">
            <v>-1318.1504249999991</v>
          </cell>
          <cell r="AB318">
            <v>2567.1291999999994</v>
          </cell>
          <cell r="AC318">
            <v>-5525.6522153846154</v>
          </cell>
          <cell r="AD318">
            <v>-1343.4360000000001</v>
          </cell>
          <cell r="AE318">
            <v>-1447.1916857142851</v>
          </cell>
          <cell r="AF318">
            <v>-1512.3723142857148</v>
          </cell>
          <cell r="AG318">
            <v>-1700</v>
          </cell>
        </row>
        <row r="319">
          <cell r="Z319">
            <v>-420.13702499999999</v>
          </cell>
          <cell r="AA319">
            <v>-457.41657499999997</v>
          </cell>
          <cell r="AB319">
            <v>877.55359999999996</v>
          </cell>
          <cell r="AC319">
            <v>-1863.5977230769229</v>
          </cell>
          <cell r="AD319">
            <v>-459.00729999999999</v>
          </cell>
          <cell r="AE319">
            <v>-498.42298571428569</v>
          </cell>
          <cell r="AF319">
            <v>-497.06971428571433</v>
          </cell>
          <cell r="AG319">
            <v>-579.90000000000009</v>
          </cell>
        </row>
        <row r="320">
          <cell r="Z320">
            <v>-25.722675000000002</v>
          </cell>
          <cell r="AA320">
            <v>-25.562924999999993</v>
          </cell>
          <cell r="AB320">
            <v>51.285599999999995</v>
          </cell>
          <cell r="AC320">
            <v>-104.79196923076924</v>
          </cell>
          <cell r="AD320">
            <v>-30.787075000000002</v>
          </cell>
          <cell r="AE320">
            <v>-25.532353571428565</v>
          </cell>
          <cell r="AF320">
            <v>-24.880571428571436</v>
          </cell>
          <cell r="AG320">
            <v>-26.299999999999997</v>
          </cell>
        </row>
        <row r="321">
          <cell r="Z321">
            <v>-60.019575000000003</v>
          </cell>
          <cell r="AA321">
            <v>-56.797624999999982</v>
          </cell>
          <cell r="AB321">
            <v>116.81719999999999</v>
          </cell>
          <cell r="AC321">
            <v>-254.89938461538461</v>
          </cell>
          <cell r="AD321">
            <v>-61.574150000000003</v>
          </cell>
          <cell r="AE321">
            <v>-59.512621428571407</v>
          </cell>
          <cell r="AF321">
            <v>-93.713228571428601</v>
          </cell>
          <cell r="AG321">
            <v>-85.800000000000011</v>
          </cell>
        </row>
        <row r="322">
          <cell r="Z322">
            <v>-1754.85805</v>
          </cell>
          <cell r="AA322">
            <v>-1857.9275499999997</v>
          </cell>
          <cell r="AB322">
            <v>3612.7855999999997</v>
          </cell>
          <cell r="AC322">
            <v>-7748.9412923076925</v>
          </cell>
          <cell r="AD322">
            <v>-1894.8045250000002</v>
          </cell>
          <cell r="AE322">
            <v>-2030.659646428571</v>
          </cell>
          <cell r="AF322">
            <v>-2128.0358285714287</v>
          </cell>
          <cell r="AG322">
            <v>-2392</v>
          </cell>
        </row>
        <row r="325">
          <cell r="Z325">
            <v>-494.44697500000007</v>
          </cell>
          <cell r="AA325">
            <v>-448.63822499999992</v>
          </cell>
          <cell r="AB325">
            <v>-362.51479999999992</v>
          </cell>
          <cell r="AC325">
            <v>-396.56144615384619</v>
          </cell>
          <cell r="AD325">
            <v>-386.23785000000004</v>
          </cell>
          <cell r="AE325">
            <v>-528.95286428571421</v>
          </cell>
          <cell r="AF325">
            <v>-471.00928571428585</v>
          </cell>
          <cell r="AG325">
            <v>-640.20000000000005</v>
          </cell>
        </row>
        <row r="326">
          <cell r="Z326">
            <v>-308.67210000000006</v>
          </cell>
          <cell r="AA326">
            <v>-358.04069999999984</v>
          </cell>
          <cell r="AB326">
            <v>-351.7872000000001</v>
          </cell>
          <cell r="AC326">
            <v>-301.31236923076926</v>
          </cell>
          <cell r="AD326">
            <v>-338.657825</v>
          </cell>
          <cell r="AE326">
            <v>-421.65446071428562</v>
          </cell>
          <cell r="AF326">
            <v>-306.38771428571442</v>
          </cell>
          <cell r="AG326">
            <v>-361.5</v>
          </cell>
        </row>
        <row r="327">
          <cell r="Z327">
            <v>-257.22675000000004</v>
          </cell>
          <cell r="AA327">
            <v>-264.17684999999994</v>
          </cell>
          <cell r="AB327">
            <v>-358.59640000000002</v>
          </cell>
          <cell r="AC327">
            <v>-199.07406153846159</v>
          </cell>
          <cell r="AD327">
            <v>-316.26722500000005</v>
          </cell>
          <cell r="AE327">
            <v>-342.67008928571408</v>
          </cell>
          <cell r="AF327">
            <v>-323.36268571428582</v>
          </cell>
          <cell r="AG327">
            <v>-195</v>
          </cell>
        </row>
        <row r="328">
          <cell r="Z328">
            <v>-214.355625</v>
          </cell>
          <cell r="AA328">
            <v>-230.11957499999997</v>
          </cell>
          <cell r="AB328">
            <v>-221.72480000000007</v>
          </cell>
          <cell r="AC328">
            <v>-240.10892307692302</v>
          </cell>
          <cell r="AD328">
            <v>-251.89425</v>
          </cell>
          <cell r="AE328">
            <v>-266.2444928571428</v>
          </cell>
          <cell r="AF328">
            <v>-262.06125714285724</v>
          </cell>
          <cell r="AG328">
            <v>-171.29999999999995</v>
          </cell>
        </row>
        <row r="329">
          <cell r="Z329">
            <v>-108.60685000000001</v>
          </cell>
          <cell r="AA329">
            <v>-127.87674999999999</v>
          </cell>
          <cell r="AB329">
            <v>-54.716399999999993</v>
          </cell>
          <cell r="AC329">
            <v>-320.55852307692311</v>
          </cell>
          <cell r="AD329">
            <v>-204.31422499999999</v>
          </cell>
          <cell r="AE329">
            <v>-68.83500357142853</v>
          </cell>
          <cell r="AF329">
            <v>-117.85077142857148</v>
          </cell>
          <cell r="AG329">
            <v>-76.800000000000011</v>
          </cell>
        </row>
        <row r="330">
          <cell r="Z330">
            <v>-137.1876</v>
          </cell>
          <cell r="AA330">
            <v>-124.93879999999993</v>
          </cell>
          <cell r="AB330">
            <v>-116.97360000000009</v>
          </cell>
          <cell r="AC330">
            <v>-238.32295384615384</v>
          </cell>
          <cell r="AD330">
            <v>-170.72832499999998</v>
          </cell>
          <cell r="AE330">
            <v>-155.92436071428568</v>
          </cell>
          <cell r="AF330">
            <v>-179.44731428571436</v>
          </cell>
          <cell r="AG330">
            <v>-96.899999999999977</v>
          </cell>
        </row>
        <row r="331">
          <cell r="Z331">
            <v>-1520.4959000000001</v>
          </cell>
          <cell r="AA331">
            <v>-1553.7908999999997</v>
          </cell>
          <cell r="AB331">
            <v>-1466.3132000000005</v>
          </cell>
          <cell r="AC331">
            <v>-1695.938276923076</v>
          </cell>
          <cell r="AD331">
            <v>-1668.0997</v>
          </cell>
          <cell r="AE331">
            <v>-1784.2812714285708</v>
          </cell>
          <cell r="AF331">
            <v>-1660.1190285714292</v>
          </cell>
          <cell r="AG331">
            <v>-1541.7000000000007</v>
          </cell>
        </row>
        <row r="334">
          <cell r="Z334">
            <v>-397.27242500000006</v>
          </cell>
          <cell r="AA334">
            <v>-400.5035749999999</v>
          </cell>
          <cell r="AB334">
            <v>-418.32399999999996</v>
          </cell>
          <cell r="AC334">
            <v>-423.75270769230769</v>
          </cell>
          <cell r="AD334">
            <v>-453.40965</v>
          </cell>
          <cell r="AE334">
            <v>-489.94077857142855</v>
          </cell>
          <cell r="AF334">
            <v>-377.54957142857154</v>
          </cell>
          <cell r="AG334">
            <v>-415</v>
          </cell>
        </row>
        <row r="335">
          <cell r="Z335">
            <v>-105.74877500000001</v>
          </cell>
          <cell r="AA335">
            <v>-107.94122499999996</v>
          </cell>
          <cell r="AB335">
            <v>-106.41000000000005</v>
          </cell>
          <cell r="AC335">
            <v>-107.56452307692302</v>
          </cell>
          <cell r="AD335">
            <v>-109.154175</v>
          </cell>
          <cell r="AE335">
            <v>-113.30756785714284</v>
          </cell>
          <cell r="AF335">
            <v>-115.03825714285716</v>
          </cell>
          <cell r="AG335">
            <v>-174.60000000000002</v>
          </cell>
        </row>
        <row r="336">
          <cell r="Z336">
            <v>-365.83360000000005</v>
          </cell>
          <cell r="AA336">
            <v>-323.67279999999982</v>
          </cell>
          <cell r="AB336">
            <v>-328.69360000000017</v>
          </cell>
          <cell r="AC336">
            <v>-267.62578461538442</v>
          </cell>
          <cell r="AD336">
            <v>-277.08367500000003</v>
          </cell>
          <cell r="AE336">
            <v>-252.31895357142849</v>
          </cell>
          <cell r="AF336">
            <v>-246.49737142857145</v>
          </cell>
          <cell r="AG336">
            <v>-247.80000000000007</v>
          </cell>
        </row>
        <row r="337">
          <cell r="Z337">
            <v>-868.85480000000007</v>
          </cell>
          <cell r="AA337">
            <v>-832.11759999999981</v>
          </cell>
          <cell r="AB337">
            <v>-853.42760000000021</v>
          </cell>
          <cell r="AC337">
            <v>-798.94301538461559</v>
          </cell>
          <cell r="AD337">
            <v>-839.64750000000004</v>
          </cell>
          <cell r="AE337">
            <v>-855.56729999999993</v>
          </cell>
          <cell r="AF337">
            <v>-739.08520000000021</v>
          </cell>
          <cell r="AG337">
            <v>-837.39999999999964</v>
          </cell>
        </row>
        <row r="340">
          <cell r="Z340">
            <v>277.23327499999999</v>
          </cell>
          <cell r="AA340">
            <v>115.95632499999999</v>
          </cell>
          <cell r="AB340">
            <v>147.81040000000002</v>
          </cell>
          <cell r="AC340">
            <v>243.52366153846151</v>
          </cell>
          <cell r="AD340">
            <v>167.92950000000002</v>
          </cell>
          <cell r="AE340">
            <v>139.01138571428567</v>
          </cell>
          <cell r="AF340">
            <v>169.15911428571434</v>
          </cell>
          <cell r="AG340">
            <v>154.29999999999995</v>
          </cell>
        </row>
        <row r="341">
          <cell r="Z341">
            <v>0</v>
          </cell>
          <cell r="AA341">
            <v>0</v>
          </cell>
          <cell r="AB341">
            <v>-0.5</v>
          </cell>
          <cell r="AC341">
            <v>-5.1644307692307692</v>
          </cell>
          <cell r="AD341">
            <v>0</v>
          </cell>
          <cell r="AE341">
            <v>-11.263885714285713</v>
          </cell>
          <cell r="AF341">
            <v>-2.0361142857142873</v>
          </cell>
          <cell r="AG341">
            <v>-21.499999999999996</v>
          </cell>
        </row>
        <row r="342">
          <cell r="Z342">
            <v>277.23327499999999</v>
          </cell>
          <cell r="AA342">
            <v>115.95632499999999</v>
          </cell>
          <cell r="AB342">
            <v>147.31040000000002</v>
          </cell>
          <cell r="AC342">
            <v>238.35923076923075</v>
          </cell>
          <cell r="AD342">
            <v>167.92950000000002</v>
          </cell>
          <cell r="AE342">
            <v>127.74749999999995</v>
          </cell>
          <cell r="AF342">
            <v>167.12300000000005</v>
          </cell>
          <cell r="AG342">
            <v>132.80000000000001</v>
          </cell>
        </row>
        <row r="346"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11.195300000000001</v>
          </cell>
          <cell r="AE346">
            <v>6.8585714285712029E-2</v>
          </cell>
          <cell r="AF346">
            <v>0.73611428571428661</v>
          </cell>
          <cell r="AG346">
            <v>0</v>
          </cell>
        </row>
        <row r="347"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</row>
        <row r="349">
          <cell r="Z349">
            <v>0</v>
          </cell>
          <cell r="AA349">
            <v>0</v>
          </cell>
          <cell r="AB349">
            <v>0</v>
          </cell>
          <cell r="AC349">
            <v>-22.657723076923077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</row>
        <row r="354">
          <cell r="B354">
            <v>36616</v>
          </cell>
          <cell r="C354">
            <v>36707</v>
          </cell>
          <cell r="D354">
            <v>36799</v>
          </cell>
          <cell r="E354">
            <v>36891</v>
          </cell>
          <cell r="F354">
            <v>36981</v>
          </cell>
          <cell r="G354">
            <v>37072</v>
          </cell>
          <cell r="H354">
            <v>37164</v>
          </cell>
          <cell r="I354">
            <v>37256</v>
          </cell>
          <cell r="J354">
            <v>37346</v>
          </cell>
          <cell r="K354">
            <v>37437</v>
          </cell>
          <cell r="L354">
            <v>37529</v>
          </cell>
          <cell r="M354">
            <v>37621</v>
          </cell>
          <cell r="N354">
            <v>37711</v>
          </cell>
          <cell r="O354">
            <v>37802</v>
          </cell>
          <cell r="P354">
            <v>37894</v>
          </cell>
          <cell r="Q354">
            <v>37986</v>
          </cell>
          <cell r="R354">
            <v>38077</v>
          </cell>
          <cell r="S354">
            <v>38168</v>
          </cell>
          <cell r="T354">
            <v>38260</v>
          </cell>
          <cell r="U354">
            <v>38352</v>
          </cell>
          <cell r="V354">
            <v>38442</v>
          </cell>
          <cell r="W354">
            <v>38533</v>
          </cell>
          <cell r="X354">
            <v>38625</v>
          </cell>
          <cell r="Y354">
            <v>38717</v>
          </cell>
          <cell r="Z354">
            <v>38807</v>
          </cell>
          <cell r="AA354">
            <v>38898</v>
          </cell>
          <cell r="AB354">
            <v>38990</v>
          </cell>
          <cell r="AC354">
            <v>39082</v>
          </cell>
          <cell r="AD354">
            <v>39172</v>
          </cell>
          <cell r="AE354">
            <v>39263</v>
          </cell>
          <cell r="AF354">
            <v>39355</v>
          </cell>
          <cell r="AG354">
            <v>39447</v>
          </cell>
          <cell r="AH354">
            <v>39538</v>
          </cell>
          <cell r="AI354">
            <v>39629</v>
          </cell>
          <cell r="AJ354">
            <v>39721</v>
          </cell>
          <cell r="AK354">
            <v>39813</v>
          </cell>
          <cell r="AL354">
            <v>39903</v>
          </cell>
          <cell r="AM354">
            <v>39994</v>
          </cell>
          <cell r="AN354">
            <v>40086</v>
          </cell>
          <cell r="AO354">
            <v>40178</v>
          </cell>
          <cell r="AP354">
            <v>40268</v>
          </cell>
          <cell r="AQ354">
            <v>40359</v>
          </cell>
          <cell r="AR354">
            <v>40451</v>
          </cell>
          <cell r="AS354">
            <v>40543</v>
          </cell>
          <cell r="AT354">
            <v>40633</v>
          </cell>
          <cell r="AU354">
            <v>40724</v>
          </cell>
          <cell r="AV354">
            <v>40816</v>
          </cell>
          <cell r="AW354">
            <v>40908</v>
          </cell>
          <cell r="AX354">
            <v>40999</v>
          </cell>
          <cell r="AY354">
            <v>41090</v>
          </cell>
          <cell r="AZ354">
            <v>41182</v>
          </cell>
          <cell r="BA354">
            <v>41274</v>
          </cell>
          <cell r="BB354">
            <v>41364</v>
          </cell>
          <cell r="BC354">
            <v>41455</v>
          </cell>
          <cell r="BD354">
            <v>41547</v>
          </cell>
          <cell r="BE354">
            <v>41639</v>
          </cell>
          <cell r="BF354">
            <v>41729</v>
          </cell>
          <cell r="BG354">
            <v>41820</v>
          </cell>
          <cell r="BH354">
            <v>41912</v>
          </cell>
          <cell r="BI354">
            <v>42004</v>
          </cell>
          <cell r="BJ354">
            <v>42094</v>
          </cell>
          <cell r="BK354">
            <v>42185</v>
          </cell>
          <cell r="BL354">
            <v>42277</v>
          </cell>
          <cell r="BM354">
            <v>42369</v>
          </cell>
        </row>
        <row r="356">
          <cell r="Z356">
            <v>19816.334999999999</v>
          </cell>
          <cell r="AA356">
            <v>22452.484</v>
          </cell>
          <cell r="AB356">
            <v>14559.564</v>
          </cell>
          <cell r="AC356">
            <v>23152</v>
          </cell>
          <cell r="AD356">
            <v>17114.11</v>
          </cell>
          <cell r="AE356">
            <v>20562.088</v>
          </cell>
          <cell r="AF356">
            <v>16480</v>
          </cell>
          <cell r="AG356">
            <v>20394</v>
          </cell>
        </row>
        <row r="357">
          <cell r="Z357">
            <v>111863.64</v>
          </cell>
          <cell r="AA357">
            <v>105709.03</v>
          </cell>
          <cell r="AB357">
            <v>103559.856</v>
          </cell>
          <cell r="AC357">
            <v>73179</v>
          </cell>
          <cell r="AD357">
            <v>129994.41</v>
          </cell>
          <cell r="AE357">
            <v>108582.758</v>
          </cell>
          <cell r="AF357">
            <v>135771</v>
          </cell>
          <cell r="AG357">
            <v>65688</v>
          </cell>
        </row>
        <row r="358">
          <cell r="E358">
            <v>134900.00700000001</v>
          </cell>
          <cell r="F358">
            <v>139487</v>
          </cell>
          <cell r="G358">
            <v>139490</v>
          </cell>
          <cell r="H358">
            <v>175949</v>
          </cell>
          <cell r="I358">
            <v>186655</v>
          </cell>
          <cell r="J358">
            <v>177080</v>
          </cell>
          <cell r="K358">
            <v>181132</v>
          </cell>
          <cell r="L358">
            <v>182143</v>
          </cell>
          <cell r="M358">
            <v>189163</v>
          </cell>
          <cell r="N358">
            <v>189824</v>
          </cell>
          <cell r="O358">
            <v>195763</v>
          </cell>
          <cell r="P358">
            <v>198273</v>
          </cell>
          <cell r="Q358">
            <v>214903</v>
          </cell>
          <cell r="R358">
            <v>215512</v>
          </cell>
          <cell r="S358">
            <v>224902</v>
          </cell>
          <cell r="T358">
            <v>234356</v>
          </cell>
          <cell r="U358">
            <v>239289</v>
          </cell>
          <cell r="V358">
            <v>250257</v>
          </cell>
          <cell r="W358">
            <v>263083</v>
          </cell>
          <cell r="X358">
            <v>273555</v>
          </cell>
          <cell r="Y358">
            <v>283420</v>
          </cell>
          <cell r="Z358">
            <v>294156.76500000001</v>
          </cell>
          <cell r="AA358">
            <v>303307.98499999999</v>
          </cell>
          <cell r="AB358">
            <v>313228.908</v>
          </cell>
          <cell r="AC358">
            <v>329105</v>
          </cell>
          <cell r="AD358">
            <v>346567.73000000004</v>
          </cell>
          <cell r="AE358">
            <v>366815.01400000002</v>
          </cell>
          <cell r="AF358">
            <v>392878</v>
          </cell>
          <cell r="AG358">
            <v>418415</v>
          </cell>
        </row>
        <row r="359">
          <cell r="Z359">
            <v>-6605.4449999999997</v>
          </cell>
          <cell r="AA359">
            <v>-6353.9389999999994</v>
          </cell>
          <cell r="AB359">
            <v>-6543.3060000000005</v>
          </cell>
          <cell r="AC359">
            <v>-6339</v>
          </cell>
          <cell r="AD359">
            <v>-6694.39</v>
          </cell>
          <cell r="AE359">
            <v>-7179.5</v>
          </cell>
          <cell r="AF359">
            <v>-7477</v>
          </cell>
          <cell r="AG359">
            <v>-6810</v>
          </cell>
        </row>
        <row r="360">
          <cell r="Z360">
            <v>34342.595000000001</v>
          </cell>
          <cell r="AA360">
            <v>29319.296999999999</v>
          </cell>
          <cell r="AB360">
            <v>34104.504000000001</v>
          </cell>
          <cell r="AC360">
            <v>45315</v>
          </cell>
          <cell r="AD360">
            <v>43611.57</v>
          </cell>
          <cell r="AE360">
            <v>42904.692000000003</v>
          </cell>
          <cell r="AF360">
            <v>41727</v>
          </cell>
          <cell r="AG360">
            <v>45252</v>
          </cell>
        </row>
        <row r="361">
          <cell r="Z361">
            <v>21103.11</v>
          </cell>
          <cell r="AA361">
            <v>21170.298999999999</v>
          </cell>
          <cell r="AB361">
            <v>21726.042000000001</v>
          </cell>
          <cell r="AC361">
            <v>21737</v>
          </cell>
          <cell r="AD361">
            <v>24032.58</v>
          </cell>
          <cell r="AE361">
            <v>28775.436000000002</v>
          </cell>
          <cell r="AF361">
            <v>26477</v>
          </cell>
          <cell r="AG361">
            <v>25406</v>
          </cell>
        </row>
        <row r="362">
          <cell r="Z362">
            <v>32855.654999999999</v>
          </cell>
          <cell r="AA362">
            <v>32852.428999999996</v>
          </cell>
          <cell r="AB362">
            <v>34812.654000000002</v>
          </cell>
          <cell r="AC362">
            <v>39836</v>
          </cell>
          <cell r="AD362">
            <v>36945.19</v>
          </cell>
          <cell r="AE362">
            <v>36787.758000000002</v>
          </cell>
          <cell r="AF362">
            <v>36155</v>
          </cell>
          <cell r="AG362">
            <v>35860</v>
          </cell>
        </row>
        <row r="363">
          <cell r="Z363">
            <v>125417.67</v>
          </cell>
          <cell r="AA363">
            <v>143120.33900000001</v>
          </cell>
          <cell r="AB363">
            <v>141828.28200000001</v>
          </cell>
          <cell r="AC363">
            <v>141429</v>
          </cell>
          <cell r="AD363">
            <v>135316.31</v>
          </cell>
          <cell r="AE363">
            <v>148787.95800000001</v>
          </cell>
          <cell r="AF363">
            <v>142138</v>
          </cell>
          <cell r="AG363">
            <v>137486</v>
          </cell>
        </row>
        <row r="364">
          <cell r="Z364">
            <v>11552.38</v>
          </cell>
          <cell r="AA364">
            <v>12195.003999999999</v>
          </cell>
          <cell r="AB364">
            <v>12718.374</v>
          </cell>
          <cell r="AC364">
            <v>13878</v>
          </cell>
          <cell r="AD364">
            <v>14901.320000000002</v>
          </cell>
          <cell r="AE364">
            <v>15220.54</v>
          </cell>
          <cell r="AF364">
            <v>15237</v>
          </cell>
          <cell r="AG364">
            <v>15808</v>
          </cell>
        </row>
        <row r="365"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Z366">
            <v>4203.4650000000001</v>
          </cell>
          <cell r="AA366">
            <v>4102.9920000000002</v>
          </cell>
          <cell r="AB366">
            <v>4107.2700000000004</v>
          </cell>
          <cell r="AC366">
            <v>4579</v>
          </cell>
          <cell r="AD366">
            <v>4201.5</v>
          </cell>
          <cell r="AE366">
            <v>4049.2379999999998</v>
          </cell>
          <cell r="AF366">
            <v>4203</v>
          </cell>
          <cell r="AG366">
            <v>4491</v>
          </cell>
        </row>
        <row r="367">
          <cell r="Z367">
            <v>14783.615</v>
          </cell>
          <cell r="AA367">
            <v>14559.922999999999</v>
          </cell>
          <cell r="AB367">
            <v>13738.11</v>
          </cell>
          <cell r="AC367">
            <v>13957</v>
          </cell>
          <cell r="AD367">
            <v>13416.79</v>
          </cell>
          <cell r="AE367">
            <v>13325.152</v>
          </cell>
          <cell r="AF367">
            <v>13174</v>
          </cell>
          <cell r="AG367">
            <v>15264</v>
          </cell>
        </row>
        <row r="368">
          <cell r="Z368">
            <v>57.19</v>
          </cell>
          <cell r="AA368">
            <v>56.985999999999997</v>
          </cell>
          <cell r="AB368">
            <v>56.652000000000001</v>
          </cell>
          <cell r="AC368">
            <v>62</v>
          </cell>
          <cell r="AD368">
            <v>224.08</v>
          </cell>
          <cell r="AE368">
            <v>315.89800000000002</v>
          </cell>
          <cell r="AF368">
            <v>395</v>
          </cell>
          <cell r="AG368">
            <v>463</v>
          </cell>
        </row>
        <row r="369">
          <cell r="Z369">
            <v>24448.724999999999</v>
          </cell>
          <cell r="AA369">
            <v>21540.707999999999</v>
          </cell>
          <cell r="AB369">
            <v>27504.546000000002</v>
          </cell>
          <cell r="AC369">
            <v>28503</v>
          </cell>
          <cell r="AD369">
            <v>34340.26</v>
          </cell>
          <cell r="AE369">
            <v>36644.167999999998</v>
          </cell>
          <cell r="AF369">
            <v>38311</v>
          </cell>
          <cell r="AG369">
            <v>36408</v>
          </cell>
        </row>
        <row r="370">
          <cell r="E370">
            <v>438054.88</v>
          </cell>
          <cell r="F370">
            <v>444427</v>
          </cell>
          <cell r="G370">
            <v>472416</v>
          </cell>
          <cell r="H370">
            <v>474099</v>
          </cell>
          <cell r="I370">
            <v>491605</v>
          </cell>
          <cell r="J370">
            <v>490977</v>
          </cell>
          <cell r="K370">
            <v>512660</v>
          </cell>
          <cell r="L370">
            <v>523272</v>
          </cell>
          <cell r="M370">
            <v>519691</v>
          </cell>
          <cell r="N370">
            <v>549557</v>
          </cell>
          <cell r="O370">
            <v>557431</v>
          </cell>
          <cell r="P370">
            <v>565472</v>
          </cell>
          <cell r="Q370">
            <v>554048</v>
          </cell>
          <cell r="R370">
            <v>620291</v>
          </cell>
          <cell r="S370">
            <v>576787</v>
          </cell>
          <cell r="T370">
            <v>597573</v>
          </cell>
          <cell r="U370">
            <v>581780</v>
          </cell>
          <cell r="V370">
            <v>616664</v>
          </cell>
          <cell r="W370">
            <v>630938</v>
          </cell>
          <cell r="X370">
            <v>664343</v>
          </cell>
          <cell r="Y370">
            <v>654064</v>
          </cell>
          <cell r="Z370">
            <v>687995.7</v>
          </cell>
          <cell r="AA370">
            <v>704033.53700000001</v>
          </cell>
          <cell r="AB370">
            <v>715401.45600000001</v>
          </cell>
          <cell r="AC370">
            <v>728393</v>
          </cell>
          <cell r="AD370">
            <v>793971.46000000008</v>
          </cell>
          <cell r="AE370">
            <v>815591.2</v>
          </cell>
          <cell r="AF370">
            <v>855469</v>
          </cell>
          <cell r="AG370">
            <v>814125</v>
          </cell>
        </row>
        <row r="373">
          <cell r="Z373">
            <v>31883.424999999999</v>
          </cell>
          <cell r="AA373">
            <v>30572.988999999998</v>
          </cell>
          <cell r="AB373">
            <v>42404.021999999997</v>
          </cell>
          <cell r="AC373">
            <v>46361</v>
          </cell>
          <cell r="AD373">
            <v>36973.200000000004</v>
          </cell>
          <cell r="AE373">
            <v>53128.3</v>
          </cell>
          <cell r="AF373">
            <v>62529</v>
          </cell>
          <cell r="AG373">
            <v>58481</v>
          </cell>
        </row>
        <row r="374">
          <cell r="E374">
            <v>357477</v>
          </cell>
          <cell r="F374">
            <v>361520</v>
          </cell>
          <cell r="G374">
            <v>381022</v>
          </cell>
          <cell r="H374">
            <v>386496</v>
          </cell>
          <cell r="I374">
            <v>388252</v>
          </cell>
          <cell r="J374">
            <v>400548</v>
          </cell>
          <cell r="K374">
            <v>407550</v>
          </cell>
          <cell r="L374">
            <v>410871</v>
          </cell>
          <cell r="M374">
            <v>403035</v>
          </cell>
          <cell r="N374">
            <v>422573</v>
          </cell>
          <cell r="O374">
            <v>433839</v>
          </cell>
          <cell r="P374">
            <v>430461</v>
          </cell>
          <cell r="Q374">
            <v>428572</v>
          </cell>
          <cell r="R374">
            <v>479700</v>
          </cell>
          <cell r="S374">
            <v>443185</v>
          </cell>
          <cell r="T374">
            <v>469231</v>
          </cell>
          <cell r="U374">
            <v>444771</v>
          </cell>
          <cell r="V374">
            <v>458457</v>
          </cell>
          <cell r="W374">
            <v>468210</v>
          </cell>
          <cell r="X374">
            <v>479537</v>
          </cell>
          <cell r="Y374">
            <v>481556</v>
          </cell>
          <cell r="Z374">
            <v>519542.55499999999</v>
          </cell>
          <cell r="AA374">
            <v>539002.08100000001</v>
          </cell>
          <cell r="AB374">
            <v>537627.48</v>
          </cell>
          <cell r="AC374">
            <v>537487</v>
          </cell>
          <cell r="AD374">
            <v>606696.6</v>
          </cell>
          <cell r="AE374">
            <v>608362.11199999996</v>
          </cell>
          <cell r="AF374">
            <v>632874</v>
          </cell>
          <cell r="AG374">
            <v>591606</v>
          </cell>
        </row>
        <row r="375">
          <cell r="Z375">
            <v>35457.799999999996</v>
          </cell>
          <cell r="AA375">
            <v>38152.127</v>
          </cell>
          <cell r="AB375">
            <v>32716.53</v>
          </cell>
          <cell r="AC375">
            <v>34408</v>
          </cell>
          <cell r="AD375">
            <v>37729.47</v>
          </cell>
          <cell r="AE375">
            <v>39257.506000000001</v>
          </cell>
          <cell r="AF375">
            <v>42524</v>
          </cell>
          <cell r="AG375">
            <v>48464</v>
          </cell>
        </row>
        <row r="376">
          <cell r="Z376">
            <v>12324.445</v>
          </cell>
          <cell r="AA376">
            <v>11226.242</v>
          </cell>
          <cell r="AB376">
            <v>10877.184000000001</v>
          </cell>
          <cell r="AC376">
            <v>12154</v>
          </cell>
          <cell r="AD376">
            <v>13248.730000000001</v>
          </cell>
          <cell r="AE376">
            <v>13727.204</v>
          </cell>
          <cell r="AF376">
            <v>13750</v>
          </cell>
          <cell r="AG376">
            <v>13376</v>
          </cell>
        </row>
        <row r="377">
          <cell r="Z377">
            <v>11237.834999999999</v>
          </cell>
          <cell r="AA377">
            <v>11824.594999999999</v>
          </cell>
          <cell r="AB377">
            <v>12463.44</v>
          </cell>
          <cell r="AC377">
            <v>13434</v>
          </cell>
          <cell r="AD377">
            <v>14173.060000000001</v>
          </cell>
          <cell r="AE377">
            <v>14588.744000000001</v>
          </cell>
          <cell r="AF377">
            <v>14833</v>
          </cell>
          <cell r="AG377">
            <v>15385</v>
          </cell>
        </row>
        <row r="378">
          <cell r="Z378">
            <v>2630.74</v>
          </cell>
          <cell r="AA378">
            <v>2478.8910000000001</v>
          </cell>
          <cell r="AB378">
            <v>2436.0360000000001</v>
          </cell>
          <cell r="AC378">
            <v>2675</v>
          </cell>
          <cell r="AD378">
            <v>2660.9500000000003</v>
          </cell>
          <cell r="AE378">
            <v>2670.7739999999999</v>
          </cell>
          <cell r="AF378">
            <v>2653</v>
          </cell>
          <cell r="AG378">
            <v>3024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ssary DE_EN"/>
      <sheetName val="Date options"/>
      <sheetName val="Lagebericht-Chartdaten"/>
      <sheetName val="I GuV"/>
      <sheetName val="Ia EPS"/>
      <sheetName val="II Bilanz"/>
      <sheetName val="III Kapitalveränderung"/>
      <sheetName val="IIIa Aktienzahl"/>
      <sheetName val="IV Geldflussrechnung"/>
      <sheetName val="IVa M&amp;A Cash-Flow"/>
      <sheetName val="V Afa Fristen"/>
      <sheetName val="1 Zinsüberschuss"/>
      <sheetName val="2 Risikovorsorgen"/>
      <sheetName val="3 Provisionsüberschuss"/>
      <sheetName val="4 Handelsergebnis"/>
      <sheetName val="5 Verwaltungsaufwand"/>
      <sheetName val="5a Personalaufwand"/>
      <sheetName val="5b Mitarbeiter"/>
      <sheetName val="5c Bezüge Vorstand"/>
      <sheetName val="5d Vergütung AR"/>
      <sheetName val="5e Sachaufwand"/>
      <sheetName val="5f Abschreibungen"/>
      <sheetName val="6 Erfolg Versicherung"/>
      <sheetName val="7 Sonstiger betr. Erfolg"/>
      <sheetName val="8 Erg_FinVerm_FV"/>
      <sheetName val="9 Erg_FinVerm_AfS"/>
      <sheetName val="10 Erg_FinVerm_HtM"/>
      <sheetName val="11 Ertragssteuer"/>
      <sheetName val="11a Steuerüberleitung"/>
      <sheetName val="12 Gewinnverwendungen"/>
      <sheetName val="13 Barreserve"/>
      <sheetName val="14 FKI"/>
      <sheetName val="15 FK"/>
      <sheetName val="16 Risikovorsorgen"/>
      <sheetName val="17 Handelsaktiva"/>
      <sheetName val="15 Sonstiges UV"/>
      <sheetName val="16 Finanzanlagen "/>
      <sheetName val="18 FinVerm_FV"/>
      <sheetName val="23 Anlagespiegel"/>
      <sheetName val="Anlagespiegel II"/>
      <sheetName val="18 Sonstige Aktiva"/>
      <sheetName val="19 Latente Steuern"/>
      <sheetName val="20 VKI"/>
      <sheetName val="21 VK"/>
      <sheetName val="22 Verbriefte Verbindlichkeiten"/>
      <sheetName val="23 Rückstellung"/>
      <sheetName val="23a LF Personal-RST"/>
      <sheetName val="23b Sonstige RST"/>
      <sheetName val="23c Versicherungstechn. RST"/>
      <sheetName val="24 Sonstige Passiva"/>
      <sheetName val="25 Nachrangkapital"/>
      <sheetName val="26 MSOP02"/>
      <sheetName val="26a MSOP05"/>
      <sheetName val="26b Vorstand - EB Aktien"/>
      <sheetName val="26c AR - EB Aktien"/>
      <sheetName val="26d Eigenmittel"/>
      <sheetName val="26e Eigenmittelerfordernis"/>
      <sheetName val="27 Seg - Total, AUT, CEE"/>
      <sheetName val="27a Seg - Int, CC"/>
      <sheetName val="27b Seg - AUT, HV, Retail"/>
      <sheetName val="27c Seg - GK, IB"/>
      <sheetName val="27d Seg - CEE, CS, SLSP"/>
      <sheetName val="27e Seg - EBH, EBC, EBS"/>
      <sheetName val="27f Regional - AUT, CEE"/>
      <sheetName val="27g Regional - Other EU, N AM"/>
      <sheetName val="27h Regional - LATAM, Asia"/>
      <sheetName val="27i Regional - Other, Total"/>
      <sheetName val="28 Vermögen FX"/>
      <sheetName val="28a Vermögen ex AUT"/>
      <sheetName val="29 Beziehungen zu Unternehmen"/>
      <sheetName val="30 Sicherheiten"/>
      <sheetName val="30a Sicherheiten"/>
      <sheetName val="31 Treuhandgeschäfte"/>
      <sheetName val="32 Kreditrisiken"/>
      <sheetName val="32a Off. Festzinspositionen"/>
      <sheetName val="33 Off. Derivate"/>
      <sheetName val="33a Off. Derivate"/>
      <sheetName val="34 Fair-Value"/>
      <sheetName val="35 Eventualverb."/>
      <sheetName val="36 Restlaufzeitengliederung"/>
      <sheetName val="39 Anteilbesitz 1"/>
      <sheetName val="39a Anteilbesitz 2"/>
      <sheetName val="39b Anteilbesitz 3"/>
      <sheetName val="Kursentwicklung im Überblick"/>
      <sheetName val="Bericht 2005 Umschlag"/>
      <sheetName val="Ratings"/>
      <sheetName val="Kursentwicklung Überblick"/>
      <sheetName val="Fluktuation"/>
      <sheetName val="Indikatoren Österreich"/>
      <sheetName val="Finanzergebnis HV"/>
      <sheetName val="Finanzergebnis Retail"/>
      <sheetName val="Finanzergebnis GK"/>
      <sheetName val="Ausweitung Marktposition"/>
      <sheetName val="Finanzergebnis IB"/>
      <sheetName val="Indikatoren Tschechien"/>
      <sheetName val="Finanzergebnis CS"/>
      <sheetName val="Indikatoren Slowakei"/>
      <sheetName val="Finanzergebnis SLSP"/>
      <sheetName val="Indikatoren Ungarn"/>
      <sheetName val="Finanzergebnis EBH"/>
      <sheetName val="Indikatoren Kroatien"/>
      <sheetName val="Finanzergebnis EBC"/>
      <sheetName val="Indikatoren Serbien"/>
      <sheetName val="Finanzergebnis EBS"/>
      <sheetName val="Finanzergebnis IG"/>
      <sheetName val="Finanzergebnis CC"/>
      <sheetName val="Bonitätsstruk. Gesamt"/>
      <sheetName val="Bonitätsstruk. Österreich"/>
      <sheetName val="Bonitätsstruk. Außerhalb Öster."/>
      <sheetName val="Branchen Struk. Gesamt"/>
      <sheetName val="Branchen. Struk. Österreich"/>
      <sheetName val="Branchen. Struk. Außerhalb Öste"/>
      <sheetName val="Regi. Struk. Kred. Risik. 2005"/>
      <sheetName val="Segmentstruk. Kreditrisiko"/>
      <sheetName val="Unternehm. Insolvenzen Öste. 05"/>
      <sheetName val="Privatkonkurse Österreich 2005"/>
    </sheetNames>
    <sheetDataSet>
      <sheetData sheetId="0"/>
      <sheetData sheetId="1" refreshError="1">
        <row r="5">
          <cell r="B5">
            <v>36616</v>
          </cell>
          <cell r="C5">
            <v>36707</v>
          </cell>
          <cell r="D5">
            <v>36799</v>
          </cell>
          <cell r="E5">
            <v>36891</v>
          </cell>
          <cell r="F5">
            <v>36981</v>
          </cell>
          <cell r="G5">
            <v>37072</v>
          </cell>
          <cell r="H5">
            <v>37164</v>
          </cell>
          <cell r="I5">
            <v>37256</v>
          </cell>
          <cell r="J5">
            <v>37346</v>
          </cell>
          <cell r="K5">
            <v>37437</v>
          </cell>
          <cell r="L5">
            <v>37529</v>
          </cell>
          <cell r="M5">
            <v>37621</v>
          </cell>
          <cell r="N5">
            <v>37711</v>
          </cell>
          <cell r="O5">
            <v>37802</v>
          </cell>
          <cell r="P5">
            <v>37894</v>
          </cell>
          <cell r="Q5">
            <v>37986</v>
          </cell>
          <cell r="R5">
            <v>38077</v>
          </cell>
          <cell r="S5">
            <v>38168</v>
          </cell>
          <cell r="T5">
            <v>38260</v>
          </cell>
          <cell r="U5">
            <v>38352</v>
          </cell>
          <cell r="V5">
            <v>38442</v>
          </cell>
          <cell r="W5">
            <v>38533</v>
          </cell>
          <cell r="X5">
            <v>38625</v>
          </cell>
          <cell r="Y5">
            <v>38717</v>
          </cell>
          <cell r="Z5">
            <v>38807</v>
          </cell>
          <cell r="AA5">
            <v>38898</v>
          </cell>
          <cell r="AB5">
            <v>38990</v>
          </cell>
          <cell r="AC5">
            <v>39082</v>
          </cell>
          <cell r="AD5">
            <v>39172</v>
          </cell>
          <cell r="AE5">
            <v>39263</v>
          </cell>
          <cell r="AF5">
            <v>39355</v>
          </cell>
          <cell r="AG5">
            <v>39447</v>
          </cell>
          <cell r="AH5">
            <v>39538</v>
          </cell>
          <cell r="AI5">
            <v>39629</v>
          </cell>
          <cell r="AJ5">
            <v>39721</v>
          </cell>
          <cell r="AK5">
            <v>39813</v>
          </cell>
          <cell r="AL5">
            <v>39903</v>
          </cell>
          <cell r="AM5">
            <v>39994</v>
          </cell>
          <cell r="AN5">
            <v>40086</v>
          </cell>
          <cell r="AO5">
            <v>40178</v>
          </cell>
          <cell r="AP5">
            <v>40268</v>
          </cell>
          <cell r="AQ5">
            <v>40359</v>
          </cell>
          <cell r="AR5">
            <v>40451</v>
          </cell>
          <cell r="AS5">
            <v>40543</v>
          </cell>
          <cell r="AT5">
            <v>40633</v>
          </cell>
          <cell r="AU5">
            <v>40724</v>
          </cell>
          <cell r="AV5">
            <v>40816</v>
          </cell>
          <cell r="AW5">
            <v>40908</v>
          </cell>
          <cell r="AX5">
            <v>40999</v>
          </cell>
          <cell r="AY5">
            <v>41090</v>
          </cell>
          <cell r="AZ5">
            <v>41182</v>
          </cell>
          <cell r="BA5">
            <v>41274</v>
          </cell>
          <cell r="BB5">
            <v>41364</v>
          </cell>
          <cell r="BC5">
            <v>41455</v>
          </cell>
          <cell r="BD5">
            <v>41547</v>
          </cell>
          <cell r="BE5">
            <v>41639</v>
          </cell>
          <cell r="BF5">
            <v>41729</v>
          </cell>
          <cell r="BG5">
            <v>41820</v>
          </cell>
          <cell r="BH5">
            <v>41912</v>
          </cell>
          <cell r="BI5">
            <v>42004</v>
          </cell>
          <cell r="BJ5">
            <v>42094</v>
          </cell>
          <cell r="BK5">
            <v>42185</v>
          </cell>
          <cell r="BL5">
            <v>42277</v>
          </cell>
          <cell r="BM5">
            <v>42369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s"/>
    </sheetNames>
    <sheetDataSet>
      <sheetData sheetId="0" refreshError="1">
        <row r="4">
          <cell r="C4">
            <v>2.5000000000000001E-2</v>
          </cell>
        </row>
        <row r="5">
          <cell r="C5">
            <v>1</v>
          </cell>
        </row>
        <row r="6">
          <cell r="C6">
            <v>0</v>
          </cell>
        </row>
        <row r="9">
          <cell r="C9">
            <v>337156.78986735514</v>
          </cell>
        </row>
        <row r="10">
          <cell r="C10">
            <v>2444.0791148204753</v>
          </cell>
          <cell r="F10">
            <v>125.0791148204753</v>
          </cell>
        </row>
        <row r="11">
          <cell r="C11">
            <v>24345.949554746636</v>
          </cell>
          <cell r="F11">
            <v>1182.9495547466358</v>
          </cell>
        </row>
        <row r="12">
          <cell r="C12">
            <v>-11588.470439926161</v>
          </cell>
          <cell r="F12">
            <v>99.529560073839093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Data"/>
      <sheetName val="PLCC-DATA"/>
      <sheetName val="LOANS-DATA"/>
      <sheetName val="SF-DATA"/>
      <sheetName val="BANKCARDS-DATA"/>
      <sheetName val="GRAPH DATA"/>
      <sheetName val="CV Graphs"/>
      <sheetName val="REC GRAPH DATA"/>
      <sheetName val="Rec Graphs"/>
      <sheetName val="Receivables Split &amp; Growth"/>
    </sheetNames>
    <sheetDataSet>
      <sheetData sheetId="0" refreshError="1">
        <row r="27">
          <cell r="A27" t="str">
            <v>US DOLLARS</v>
          </cell>
        </row>
        <row r="28">
          <cell r="B28">
            <v>36161</v>
          </cell>
          <cell r="C28">
            <v>36192</v>
          </cell>
          <cell r="D28">
            <v>36220</v>
          </cell>
          <cell r="E28">
            <v>36251</v>
          </cell>
          <cell r="F28">
            <v>36281</v>
          </cell>
          <cell r="G28">
            <v>36312</v>
          </cell>
          <cell r="H28">
            <v>36342</v>
          </cell>
          <cell r="I28">
            <v>36373</v>
          </cell>
          <cell r="J28">
            <v>36404</v>
          </cell>
          <cell r="K28">
            <v>36434</v>
          </cell>
          <cell r="L28">
            <v>36465</v>
          </cell>
          <cell r="M28">
            <v>36495</v>
          </cell>
        </row>
        <row r="29">
          <cell r="A29" t="str">
            <v>PLCC</v>
          </cell>
          <cell r="B29">
            <v>2120910.7575322646</v>
          </cell>
          <cell r="C29">
            <v>2026612.6080319623</v>
          </cell>
          <cell r="D29">
            <v>1980686.3472756452</v>
          </cell>
          <cell r="E29">
            <v>2002763.5620576458</v>
          </cell>
          <cell r="F29">
            <v>1966869.9474660777</v>
          </cell>
          <cell r="G29">
            <v>1946892.8374847665</v>
          </cell>
          <cell r="H29">
            <v>2012995.3964866705</v>
          </cell>
          <cell r="I29">
            <v>1981915.0530352115</v>
          </cell>
          <cell r="J29">
            <v>1979494.5866733617</v>
          </cell>
          <cell r="K29">
            <v>2034940.3854093214</v>
          </cell>
          <cell r="L29">
            <v>2093515.4669122414</v>
          </cell>
          <cell r="M29">
            <v>2280579.0010621804</v>
          </cell>
        </row>
        <row r="30">
          <cell r="A30" t="str">
            <v>SALES FINANCE</v>
          </cell>
          <cell r="B30">
            <v>820882.15750101558</v>
          </cell>
          <cell r="C30">
            <v>780270.1480534958</v>
          </cell>
          <cell r="D30">
            <v>750254.04937569506</v>
          </cell>
          <cell r="E30">
            <v>737017.64795647841</v>
          </cell>
          <cell r="F30">
            <v>732846.73924147908</v>
          </cell>
          <cell r="G30">
            <v>723432.80084435944</v>
          </cell>
          <cell r="H30">
            <v>734710.4838708993</v>
          </cell>
          <cell r="I30">
            <v>739764.21750174684</v>
          </cell>
          <cell r="J30">
            <v>725500.43872122641</v>
          </cell>
          <cell r="K30">
            <v>729176.7611156936</v>
          </cell>
          <cell r="L30">
            <v>751742.76524008706</v>
          </cell>
          <cell r="M30">
            <v>820126.95667728269</v>
          </cell>
        </row>
        <row r="31">
          <cell r="A31" t="str">
            <v>LOANS</v>
          </cell>
          <cell r="B31">
            <v>67459.826195482296</v>
          </cell>
          <cell r="C31">
            <v>68953.541906693921</v>
          </cell>
          <cell r="D31">
            <v>77538.749135616148</v>
          </cell>
          <cell r="E31">
            <v>81784.738608467276</v>
          </cell>
          <cell r="F31">
            <v>87982.079026833148</v>
          </cell>
          <cell r="G31">
            <v>89651.101385923277</v>
          </cell>
          <cell r="H31">
            <v>95220.070456219823</v>
          </cell>
          <cell r="I31">
            <v>99593.391514860035</v>
          </cell>
          <cell r="J31">
            <v>106099.61880993162</v>
          </cell>
          <cell r="K31">
            <v>108852.24353217283</v>
          </cell>
          <cell r="L31">
            <v>116102.99592390984</v>
          </cell>
          <cell r="M31">
            <v>117601.76275925543</v>
          </cell>
        </row>
        <row r="44">
          <cell r="A44" t="str">
            <v>US DOLLARS</v>
          </cell>
        </row>
        <row r="45">
          <cell r="B45">
            <v>36161</v>
          </cell>
          <cell r="C45">
            <v>36192</v>
          </cell>
          <cell r="D45">
            <v>36220</v>
          </cell>
          <cell r="E45">
            <v>36251</v>
          </cell>
          <cell r="F45">
            <v>36281</v>
          </cell>
          <cell r="G45">
            <v>36312</v>
          </cell>
          <cell r="H45">
            <v>36342</v>
          </cell>
          <cell r="I45">
            <v>36373</v>
          </cell>
          <cell r="J45">
            <v>36404</v>
          </cell>
          <cell r="K45">
            <v>36434</v>
          </cell>
          <cell r="L45">
            <v>36465</v>
          </cell>
          <cell r="M45">
            <v>36495</v>
          </cell>
        </row>
        <row r="46">
          <cell r="A46" t="str">
            <v>PLCC</v>
          </cell>
          <cell r="B46">
            <v>2133936.3887519999</v>
          </cell>
          <cell r="C46">
            <v>2036682.6916960003</v>
          </cell>
          <cell r="D46">
            <v>2014988.1283200001</v>
          </cell>
          <cell r="E46">
            <v>2041590.4000000001</v>
          </cell>
          <cell r="F46">
            <v>2059541.5215999999</v>
          </cell>
          <cell r="G46">
            <v>2066670.4000000001</v>
          </cell>
          <cell r="H46">
            <v>2135403.52</v>
          </cell>
          <cell r="I46">
            <v>2100688</v>
          </cell>
          <cell r="J46">
            <v>2099505.6</v>
          </cell>
          <cell r="K46">
            <v>2136363.84</v>
          </cell>
          <cell r="L46">
            <v>2170937.6</v>
          </cell>
          <cell r="M46">
            <v>2379435.5920000002</v>
          </cell>
        </row>
        <row r="47">
          <cell r="A47" t="str">
            <v>SALES FINANCE</v>
          </cell>
          <cell r="B47">
            <v>829122.27150399983</v>
          </cell>
          <cell r="C47">
            <v>800976.61900800001</v>
          </cell>
          <cell r="D47">
            <v>770833.98985600017</v>
          </cell>
          <cell r="E47">
            <v>760283.20000000007</v>
          </cell>
          <cell r="F47">
            <v>746626.15040000004</v>
          </cell>
          <cell r="G47">
            <v>727257.44000000006</v>
          </cell>
          <cell r="H47">
            <v>703476.16</v>
          </cell>
          <cell r="I47">
            <v>691820.32000000007</v>
          </cell>
          <cell r="J47">
            <v>688870.40000000002</v>
          </cell>
          <cell r="K47">
            <v>682424.8</v>
          </cell>
          <cell r="L47">
            <v>666498.72000000009</v>
          </cell>
          <cell r="M47">
            <v>669508.67680000002</v>
          </cell>
        </row>
        <row r="48">
          <cell r="A48" t="str">
            <v>LOANS</v>
          </cell>
          <cell r="B48">
            <v>60167.947615999998</v>
          </cell>
          <cell r="C48">
            <v>62979.456687999998</v>
          </cell>
          <cell r="D48">
            <v>62763.302959999994</v>
          </cell>
          <cell r="E48">
            <v>62502.400000000001</v>
          </cell>
          <cell r="F48">
            <v>73396.800000000003</v>
          </cell>
          <cell r="G48">
            <v>73158.080000000002</v>
          </cell>
          <cell r="H48">
            <v>70849.440000000002</v>
          </cell>
          <cell r="I48">
            <v>66820.800000000003</v>
          </cell>
          <cell r="J48">
            <v>74873.600000000006</v>
          </cell>
          <cell r="K48">
            <v>76445.280000000013</v>
          </cell>
          <cell r="L48">
            <v>78139.360000000001</v>
          </cell>
          <cell r="M48">
            <v>80020.534400000004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s"/>
    </sheetNames>
    <sheetDataSet>
      <sheetData sheetId="0" refreshError="1">
        <row r="4">
          <cell r="C4">
            <v>2.5000000000000001E-2</v>
          </cell>
        </row>
        <row r="9">
          <cell r="C9">
            <v>336556.82071761746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denliste"/>
      <sheetName val="Debitoren"/>
      <sheetName val="Kreditoren"/>
      <sheetName val="Datum"/>
      <sheetName val="Verweis"/>
      <sheetName val="Verweis-Erläuterung"/>
      <sheetName val="Abschluss"/>
      <sheetName val="Gegenkonten Abgrenzungen"/>
      <sheetName val="Hilfstabelle"/>
      <sheetName val="gegliederte Bilanz"/>
      <sheetName val="Kurzinformation"/>
      <sheetName val="G&amp;V"/>
      <sheetName val="Wertpapiere"/>
      <sheetName val="Emissionen"/>
      <sheetName val="Zinssätze"/>
      <sheetName val="Referenz"/>
      <sheetName val="Meldewesendetails"/>
      <sheetName val="Monetärstatistik"/>
      <sheetName val="Großveranlagung"/>
      <sheetName val="GVA"/>
      <sheetName val="Laufzeit"/>
      <sheetName val="Laufzeit Tilgungen"/>
      <sheetName val="Laufzeit Zusammenfassung"/>
      <sheetName val="Bausparkasse"/>
      <sheetName val="Abgrenzungsdetails"/>
      <sheetName val="Konzernsolvabilität"/>
      <sheetName val="Konzerneigenmittel"/>
      <sheetName val="Quotenmäßige Konsolidierung"/>
      <sheetName val="Konzerngroßveranlagung"/>
      <sheetName val="HTM"/>
      <sheetName val="Kammerumlage"/>
      <sheetName val="Anlagenspiegel"/>
      <sheetName val="Verbundene Werte"/>
      <sheetName val="IRSSK"/>
      <sheetName val="Rec Data"/>
      <sheetName val="DECKBLATT"/>
    </sheetNames>
    <sheetDataSet>
      <sheetData sheetId="0" refreshError="1"/>
      <sheetData sheetId="1" refreshError="1"/>
      <sheetData sheetId="2" refreshError="1"/>
      <sheetData sheetId="3" refreshError="1">
        <row r="21">
          <cell r="C21" t="str">
            <v>nein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BER1__Anzahl_und_Volumen_nach"/>
      <sheetName val="Abb 4-3a Entwicklung Obligo"/>
      <sheetName val="Abb 4-3b Entwicklung Saldo"/>
      <sheetName val="Abb 4-1 Obligo von Kunden"/>
      <sheetName val="Abb 4-2 Saldo von  Kunden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ing vozidla"/>
      <sheetName val="FINANČNÍ LEASING"/>
      <sheetName val="NEMOVITOSTI 2002"/>
      <sheetName val="BANKOVNÍ A KANCELÁŘSKÁ TECH."/>
      <sheetName val="IT"/>
      <sheetName val="celkem leas"/>
      <sheetName val="leas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Passwords"/>
      <sheetName val="EBS"/>
      <sheetName val="Dividend"/>
      <sheetName val="Indices"/>
      <sheetName val="EBS Log-MA"/>
      <sheetName val="EBS VOHLC"/>
      <sheetName val="EBS Comm"/>
      <sheetName val="TRX Wiz"/>
      <sheetName val="M&amp;A Multiples"/>
      <sheetName val="Share count"/>
      <sheetName val="Hyb Hist"/>
      <sheetName val="Peers"/>
      <sheetName val="OpEnv dataset"/>
      <sheetName val="Eurostat_Meta"/>
      <sheetName val="Eurostat dataset"/>
      <sheetName val="Interest rate dataset"/>
      <sheetName val="FX dataset"/>
      <sheetName val="FX release"/>
      <sheetName val="Bubbles E"/>
      <sheetName val="Bubbles E non-log"/>
      <sheetName val="Bubbles D"/>
      <sheetName val="Loans-Cap E"/>
      <sheetName val="Loans-Cap D"/>
      <sheetName val="Bank Dev"/>
      <sheetName val="Banking dataset"/>
      <sheetName val="FX Sheet"/>
      <sheetName val="OeNB Stats"/>
      <sheetName val="CNB Stats"/>
      <sheetName val="MNB Stats"/>
      <sheetName val="SNB Stats"/>
      <sheetName val="HNB Stats"/>
      <sheetName val="BNR Stats"/>
      <sheetName val="Rom 2"/>
      <sheetName val="NBU Stats+"/>
      <sheetName val="Ukr 1"/>
      <sheetName val="Ukr 2"/>
      <sheetName val="EB Cons Q+Y"/>
      <sheetName val="Customers"/>
      <sheetName val="Branches"/>
      <sheetName val="EB Loans Q"/>
      <sheetName val="EB Risk Q"/>
      <sheetName val="CEE Loan Growth"/>
      <sheetName val="CEE Loan Growth (2)"/>
      <sheetName val="CEE Loan Old"/>
      <sheetName val="Margins"/>
      <sheetName val="CEE Loanbook"/>
      <sheetName val="CEE Swing-O-Meter"/>
      <sheetName val="CS Q+Y"/>
      <sheetName val="CS NIM Log"/>
      <sheetName val="CS NIM"/>
      <sheetName val="BCR Q+Y"/>
      <sheetName val="BCR Interim"/>
      <sheetName val="BCR BP"/>
      <sheetName val="BCR Group"/>
      <sheetName val="BCR Tables"/>
      <sheetName val="BCR AQ"/>
      <sheetName val="BCR Time"/>
      <sheetName val="SLSP Q+Y"/>
      <sheetName val="SLSP NIM Log"/>
      <sheetName val="SLSP NIM"/>
      <sheetName val="EBH Q+Y"/>
      <sheetName val="EBH NIM"/>
      <sheetName val="EBH Mort"/>
      <sheetName val="EBCR Q+Y"/>
      <sheetName val="EBCR NIM"/>
      <sheetName val="Segment Defs"/>
      <sheetName val="Seg PL Q"/>
      <sheetName val="Seg PL YTD"/>
      <sheetName val="Seg Cont Net"/>
      <sheetName val="Seg Cont OI"/>
      <sheetName val="RWA Split"/>
      <sheetName val="Retail Split 1"/>
      <sheetName val="Eurostat"/>
      <sheetName val="Retail split 2"/>
      <sheetName val="Macro Dataset"/>
      <sheetName val="Austria Final Data"/>
      <sheetName val="CE Final Data"/>
      <sheetName val="Macro Planning"/>
      <sheetName val="LT Growth"/>
      <sheetName val="EU Growth"/>
      <sheetName val="GDP Growth"/>
      <sheetName val="Inflation"/>
      <sheetName val="ST Rates"/>
      <sheetName val="Loan-GDP"/>
      <sheetName val="Fund Mgmt"/>
      <sheetName val="Fund Special"/>
      <sheetName val="FUM-Cap 04"/>
      <sheetName val="FUM-Cap E"/>
      <sheetName val="FUM-Cap D"/>
      <sheetName val="FUM Abs"/>
      <sheetName val="FUM Shares E"/>
      <sheetName val="FUM Shares D"/>
      <sheetName val="FUM EB Abs"/>
      <sheetName val="AM+Life fees"/>
      <sheetName val="AM cont"/>
      <sheetName val="Wealth cont"/>
      <sheetName val="Mortgage New"/>
      <sheetName val="Loans_Mort_Dep_GDP"/>
      <sheetName val="Mortgage GDP"/>
      <sheetName val="Ownership vs mort"/>
      <sheetName val="Loan growth"/>
    </sheetNames>
    <sheetDataSet>
      <sheetData sheetId="0" refreshError="1">
        <row r="1">
          <cell r="A1" t="str">
            <v>MANY SHEETS ARE LINKED; CARELESS CHANGES, eg DELETING ROWS OR COLUMNS, MAY SCREW UP WORKSHEETS &amp; CHARTS</v>
          </cell>
        </row>
        <row r="3">
          <cell r="C3" t="str">
            <v>Erste Bank der oesterreichischen Sparkassen AG</v>
          </cell>
        </row>
        <row r="4">
          <cell r="C4" t="str">
            <v>Investor Relations Toolkit</v>
          </cell>
        </row>
        <row r="6">
          <cell r="C6" t="str">
            <v>Section</v>
          </cell>
          <cell r="D6" t="str">
            <v>Description</v>
          </cell>
          <cell r="H6" t="str">
            <v>Resources</v>
          </cell>
        </row>
        <row r="7">
          <cell r="C7" t="str">
            <v>Stock exchange data</v>
          </cell>
          <cell r="D7" t="str">
            <v>Share price, volume data, charts, index weightings, dividends</v>
          </cell>
          <cell r="H7" t="str">
            <v>Prices &amp; volumes</v>
          </cell>
          <cell r="I7" t="str">
            <v>Dividend history</v>
          </cell>
          <cell r="J7" t="str">
            <v>Index weightings</v>
          </cell>
          <cell r="K7" t="str">
            <v>Indices</v>
          </cell>
          <cell r="L7" t="str">
            <v>Dividend</v>
          </cell>
        </row>
        <row r="8">
          <cell r="C8" t="str">
            <v>Market intelligence (MI)</v>
          </cell>
          <cell r="D8" t="str">
            <v>Key data series on existing, new &amp; EU25 markets</v>
          </cell>
        </row>
        <row r="9">
          <cell r="C9" t="str">
            <v xml:space="preserve">  Economic data</v>
          </cell>
          <cell r="D9" t="str">
            <v>Economic, market share &amp; intermediation data histories</v>
          </cell>
          <cell r="H9" t="str">
            <v>MI Core</v>
          </cell>
          <cell r="I9" t="str">
            <v>Eurostat database</v>
          </cell>
          <cell r="J9" t="str">
            <v>How to update?</v>
          </cell>
          <cell r="K9" t="str">
            <v>Internal macro planning</v>
          </cell>
        </row>
        <row r="10">
          <cell r="C10" t="str">
            <v xml:space="preserve">  Banking market data</v>
          </cell>
          <cell r="D10" t="str">
            <v>Summary and detailed banking &amp; MFI statistics</v>
          </cell>
          <cell r="H10" t="str">
            <v>Summary data</v>
          </cell>
          <cell r="I10" t="str">
            <v>Austrian data</v>
          </cell>
          <cell r="J10" t="str">
            <v>Czech data</v>
          </cell>
          <cell r="K10" t="str">
            <v>Hungarian data</v>
          </cell>
          <cell r="L10" t="str">
            <v>Croatian data</v>
          </cell>
        </row>
        <row r="11">
          <cell r="C11" t="str">
            <v xml:space="preserve">  Other reference data</v>
          </cell>
          <cell r="H11" t="str">
            <v>Exchange rates</v>
          </cell>
          <cell r="I11" t="str">
            <v>Interest rates</v>
          </cell>
        </row>
        <row r="12">
          <cell r="C12" t="str">
            <v>Financials &amp; business data</v>
          </cell>
        </row>
        <row r="13">
          <cell r="C13" t="str">
            <v xml:space="preserve">  EB Group</v>
          </cell>
          <cell r="D13" t="str">
            <v>Financials, ratios and charts</v>
          </cell>
          <cell r="H13" t="str">
            <v>Key ratios</v>
          </cell>
          <cell r="I13" t="str">
            <v>Income statement</v>
          </cell>
          <cell r="J13" t="str">
            <v>Balance sheet</v>
          </cell>
          <cell r="K13" t="str">
            <v>Loan book &amp; asset quality</v>
          </cell>
          <cell r="L13" t="str">
            <v>Operating data</v>
          </cell>
          <cell r="M13" t="str">
            <v>Additional data</v>
          </cell>
        </row>
        <row r="14">
          <cell r="C14" t="str">
            <v xml:space="preserve">  Ceska Sporitelna</v>
          </cell>
          <cell r="D14" t="str">
            <v>Key business data (LOCAL)</v>
          </cell>
          <cell r="H14" t="str">
            <v>Key ratios</v>
          </cell>
          <cell r="I14" t="str">
            <v>Income statement</v>
          </cell>
          <cell r="J14" t="str">
            <v>Balance sheet</v>
          </cell>
          <cell r="K14" t="str">
            <v>Loan book &amp; asset quality</v>
          </cell>
          <cell r="L14" t="str">
            <v>Operating data</v>
          </cell>
          <cell r="M14" t="str">
            <v>Additional data</v>
          </cell>
        </row>
        <row r="15">
          <cell r="C15" t="str">
            <v xml:space="preserve">  Slovenská sporiteľňa</v>
          </cell>
          <cell r="D15" t="str">
            <v>Key business data (LOCAL)</v>
          </cell>
          <cell r="H15" t="str">
            <v>Key ratios</v>
          </cell>
          <cell r="I15" t="str">
            <v>Income statement</v>
          </cell>
          <cell r="J15" t="str">
            <v>Balance sheet</v>
          </cell>
          <cell r="K15" t="str">
            <v>Loan book &amp; asset quality</v>
          </cell>
          <cell r="L15" t="str">
            <v>Operating data</v>
          </cell>
          <cell r="M15" t="str">
            <v>Additional data</v>
          </cell>
        </row>
        <row r="16">
          <cell r="C16" t="str">
            <v xml:space="preserve">  EB Hungary </v>
          </cell>
          <cell r="D16" t="str">
            <v>Key business data (LOCAL)</v>
          </cell>
          <cell r="H16" t="str">
            <v>Key ratios</v>
          </cell>
          <cell r="I16" t="str">
            <v>Income statement</v>
          </cell>
          <cell r="J16" t="str">
            <v>Balance sheet</v>
          </cell>
          <cell r="K16" t="str">
            <v>Loan book &amp; asset quality</v>
          </cell>
          <cell r="L16" t="str">
            <v>Operating data</v>
          </cell>
          <cell r="M16" t="str">
            <v>Additional data</v>
          </cell>
        </row>
        <row r="17">
          <cell r="C17" t="str">
            <v xml:space="preserve">  EB Croatia</v>
          </cell>
          <cell r="D17" t="str">
            <v>Key business data (LOCAL)</v>
          </cell>
        </row>
        <row r="18">
          <cell r="C18" t="str">
            <v>Segment reporting</v>
          </cell>
          <cell r="D18" t="str">
            <v>Full set of segment data &amp; ratios</v>
          </cell>
        </row>
        <row r="19">
          <cell r="C19" t="str">
            <v>Capital increase history (# of shares, issue prices, ESOP, MSOP)</v>
          </cell>
        </row>
        <row r="21">
          <cell r="C21" t="str">
            <v>Risk costs/provisioning</v>
          </cell>
        </row>
        <row r="22">
          <cell r="C22" t="str">
            <v>Loan volumes (growth &amp; split)</v>
          </cell>
        </row>
        <row r="24">
          <cell r="C24" t="str">
            <v>Market intelligence - Current/New frontier</v>
          </cell>
          <cell r="H24" t="str">
            <v>Existing markets</v>
          </cell>
          <cell r="I24" t="str">
            <v>Serbia</v>
          </cell>
          <cell r="J24" t="str">
            <v>Romania</v>
          </cell>
          <cell r="K24" t="str">
            <v>Ukraine</v>
          </cell>
        </row>
        <row r="25">
          <cell r="C25" t="str">
            <v>Macroeconomic and foreign exchange data section</v>
          </cell>
          <cell r="H25" t="str">
            <v>Macro Dataset</v>
          </cell>
          <cell r="I25" t="str">
            <v>Macro Planning</v>
          </cell>
          <cell r="J25" t="str">
            <v>FX Datasets</v>
          </cell>
          <cell r="K25" t="str">
            <v>IR Dataset</v>
          </cell>
        </row>
        <row r="26">
          <cell r="C26" t="str">
            <v>Market share data - Summary</v>
          </cell>
        </row>
        <row r="27">
          <cell r="C27" t="str">
            <v>Market share data - detail: asset management (data and charts)</v>
          </cell>
          <cell r="H27" t="str">
            <v>Fund Mgmt</v>
          </cell>
        </row>
        <row r="28">
          <cell r="C28" t="str">
            <v>Market share data - detail: life insurance (data and charts)</v>
          </cell>
          <cell r="H28" t="str">
            <v>Insurance</v>
          </cell>
        </row>
        <row r="29">
          <cell r="C29" t="str">
            <v>Market share data - detail: mortgages (data and charts)</v>
          </cell>
        </row>
        <row r="30">
          <cell r="C30" t="str">
            <v>Competition - peer group analysis</v>
          </cell>
        </row>
        <row r="31">
          <cell r="C31" t="str">
            <v>IR Toolbox</v>
          </cell>
        </row>
        <row r="32">
          <cell r="C32" t="str">
            <v xml:space="preserve">  Valuation</v>
          </cell>
          <cell r="D32" t="str">
            <v>T1 impact calculator, M&amp;A multiples, hybrid T1</v>
          </cell>
          <cell r="H32" t="str">
            <v>TRX Wizard</v>
          </cell>
          <cell r="I32" t="str">
            <v>Acquisition multiples</v>
          </cell>
          <cell r="J32" t="str">
            <v>Hybrid Tier 1</v>
          </cell>
          <cell r="K32" t="str">
            <v>Share count</v>
          </cell>
        </row>
        <row r="33">
          <cell r="C33" t="str">
            <v xml:space="preserve">  Sellside</v>
          </cell>
          <cell r="D33" t="str">
            <v>Passwords, coverage, price targets, contacts</v>
          </cell>
          <cell r="H33" t="str">
            <v>Passwords</v>
          </cell>
          <cell r="I33" t="str">
            <v>Coverage</v>
          </cell>
        </row>
      </sheetData>
      <sheetData sheetId="1"/>
      <sheetData sheetId="2" refreshError="1">
        <row r="1">
          <cell r="I1" t="str">
            <v>Datum</v>
          </cell>
          <cell r="J1" t="str">
            <v>Kurs nach Split in EUR</v>
          </cell>
          <cell r="K1" t="str">
            <v>Kurs in Euro</v>
          </cell>
        </row>
        <row r="2">
          <cell r="I2">
            <v>35766</v>
          </cell>
          <cell r="J2">
            <v>11.082607210598605</v>
          </cell>
          <cell r="K2">
            <v>44.330428842394419</v>
          </cell>
        </row>
        <row r="3">
          <cell r="I3">
            <v>35768</v>
          </cell>
          <cell r="J3">
            <v>11.173448253308431</v>
          </cell>
          <cell r="K3">
            <v>44.693793013233723</v>
          </cell>
        </row>
        <row r="4">
          <cell r="I4">
            <v>35769</v>
          </cell>
          <cell r="J4">
            <v>11.191616461850394</v>
          </cell>
          <cell r="K4">
            <v>44.766465847401577</v>
          </cell>
        </row>
        <row r="5">
          <cell r="I5">
            <v>35773</v>
          </cell>
          <cell r="J5">
            <v>11.173448253308431</v>
          </cell>
          <cell r="K5">
            <v>44.693793013233723</v>
          </cell>
        </row>
        <row r="6">
          <cell r="I6">
            <v>35774</v>
          </cell>
          <cell r="J6">
            <v>11.169814611600037</v>
          </cell>
          <cell r="K6">
            <v>44.679258446400148</v>
          </cell>
        </row>
        <row r="7">
          <cell r="I7">
            <v>35775</v>
          </cell>
          <cell r="J7">
            <v>11.155280044766466</v>
          </cell>
          <cell r="K7">
            <v>44.621120179065862</v>
          </cell>
        </row>
        <row r="8">
          <cell r="I8">
            <v>35776</v>
          </cell>
          <cell r="J8">
            <v>11.146195940495483</v>
          </cell>
          <cell r="K8">
            <v>44.584783761981932</v>
          </cell>
        </row>
        <row r="9">
          <cell r="I9">
            <v>35779</v>
          </cell>
          <cell r="J9">
            <v>11.135295015370303</v>
          </cell>
          <cell r="K9">
            <v>44.541180061481214</v>
          </cell>
        </row>
        <row r="10">
          <cell r="I10">
            <v>35780</v>
          </cell>
          <cell r="J10">
            <v>11.109859523411552</v>
          </cell>
          <cell r="K10">
            <v>44.43943809364621</v>
          </cell>
        </row>
        <row r="11">
          <cell r="I11">
            <v>35781</v>
          </cell>
          <cell r="J11">
            <v>11.10077541914057</v>
          </cell>
          <cell r="K11">
            <v>44.403101676562279</v>
          </cell>
        </row>
        <row r="12">
          <cell r="I12">
            <v>35782</v>
          </cell>
          <cell r="J12">
            <v>11.189799640996197</v>
          </cell>
          <cell r="K12">
            <v>44.759198563984789</v>
          </cell>
        </row>
        <row r="13">
          <cell r="I13">
            <v>35783</v>
          </cell>
          <cell r="J13">
            <v>11.717499999999999</v>
          </cell>
          <cell r="K13">
            <v>46.87</v>
          </cell>
        </row>
        <row r="14">
          <cell r="I14">
            <v>35786</v>
          </cell>
          <cell r="J14">
            <v>11.355130338728079</v>
          </cell>
          <cell r="K14">
            <v>45.420521354912317</v>
          </cell>
        </row>
        <row r="15">
          <cell r="I15">
            <v>35787</v>
          </cell>
          <cell r="J15">
            <v>11.373298547270045</v>
          </cell>
          <cell r="K15">
            <v>45.493194189080178</v>
          </cell>
        </row>
        <row r="16">
          <cell r="I16">
            <v>35793</v>
          </cell>
          <cell r="J16">
            <v>11.318793921644149</v>
          </cell>
          <cell r="K16">
            <v>45.275175686576596</v>
          </cell>
        </row>
        <row r="17">
          <cell r="I17">
            <v>35794</v>
          </cell>
          <cell r="J17">
            <v>11.436887277166921</v>
          </cell>
          <cell r="K17">
            <v>45.747549108667684</v>
          </cell>
        </row>
        <row r="18">
          <cell r="I18">
            <v>35797</v>
          </cell>
          <cell r="J18">
            <v>11.445971381437904</v>
          </cell>
          <cell r="K18">
            <v>45.783885525751614</v>
          </cell>
        </row>
        <row r="19">
          <cell r="I19">
            <v>35800</v>
          </cell>
          <cell r="J19">
            <v>11.445971381437904</v>
          </cell>
          <cell r="K19">
            <v>45.783885525751614</v>
          </cell>
        </row>
        <row r="20">
          <cell r="I20">
            <v>35802</v>
          </cell>
          <cell r="J20">
            <v>11.318793921644149</v>
          </cell>
          <cell r="K20">
            <v>45.275175686576596</v>
          </cell>
        </row>
        <row r="21">
          <cell r="I21">
            <v>35803</v>
          </cell>
          <cell r="J21">
            <v>11.400550860082992</v>
          </cell>
          <cell r="K21">
            <v>45.602203440331969</v>
          </cell>
        </row>
        <row r="22">
          <cell r="I22">
            <v>35804</v>
          </cell>
          <cell r="J22">
            <v>11.300625713102185</v>
          </cell>
          <cell r="K22">
            <v>45.202502852408742</v>
          </cell>
        </row>
        <row r="23">
          <cell r="I23">
            <v>35807</v>
          </cell>
          <cell r="J23">
            <v>11.21</v>
          </cell>
          <cell r="K23">
            <v>44.84</v>
          </cell>
        </row>
        <row r="24">
          <cell r="I24">
            <v>35808</v>
          </cell>
          <cell r="J24">
            <v>11.300625713102185</v>
          </cell>
          <cell r="K24">
            <v>45.202502852408742</v>
          </cell>
        </row>
        <row r="25">
          <cell r="I25">
            <v>35809</v>
          </cell>
          <cell r="J25">
            <v>11.264289296018255</v>
          </cell>
          <cell r="K25">
            <v>45.05715718407302</v>
          </cell>
        </row>
        <row r="26">
          <cell r="I26">
            <v>35810</v>
          </cell>
          <cell r="J26">
            <v>11.336962130186114</v>
          </cell>
          <cell r="K26">
            <v>45.347848520744456</v>
          </cell>
        </row>
        <row r="27">
          <cell r="I27">
            <v>35811</v>
          </cell>
          <cell r="J27">
            <v>11.427803172895938</v>
          </cell>
          <cell r="K27">
            <v>45.711212691583754</v>
          </cell>
        </row>
        <row r="28">
          <cell r="I28">
            <v>35814</v>
          </cell>
          <cell r="J28">
            <v>11.700326301025413</v>
          </cell>
          <cell r="K28">
            <v>46.801305204101652</v>
          </cell>
        </row>
        <row r="29">
          <cell r="I29">
            <v>35815</v>
          </cell>
          <cell r="J29">
            <v>12.136363306032571</v>
          </cell>
          <cell r="K29">
            <v>48.545453224130284</v>
          </cell>
        </row>
        <row r="30">
          <cell r="I30">
            <v>35816</v>
          </cell>
          <cell r="J30">
            <v>11.845671969361133</v>
          </cell>
          <cell r="K30">
            <v>47.382687877444532</v>
          </cell>
        </row>
        <row r="31">
          <cell r="I31">
            <v>35817</v>
          </cell>
          <cell r="J31">
            <v>11.782083239464255</v>
          </cell>
          <cell r="K31">
            <v>47.128332957857019</v>
          </cell>
        </row>
        <row r="32">
          <cell r="I32">
            <v>35818</v>
          </cell>
          <cell r="J32">
            <v>11.718494509567378</v>
          </cell>
          <cell r="K32">
            <v>46.873978038269513</v>
          </cell>
        </row>
        <row r="33">
          <cell r="I33">
            <v>35821</v>
          </cell>
          <cell r="J33">
            <v>11.718494509567378</v>
          </cell>
          <cell r="K33">
            <v>46.873978038269513</v>
          </cell>
        </row>
        <row r="34">
          <cell r="I34">
            <v>35822</v>
          </cell>
          <cell r="J34">
            <v>11.736662718109343</v>
          </cell>
          <cell r="K34">
            <v>46.946650872437374</v>
          </cell>
        </row>
        <row r="35">
          <cell r="I35">
            <v>35823</v>
          </cell>
          <cell r="J35">
            <v>11.882008386445062</v>
          </cell>
          <cell r="K35">
            <v>47.528033545780247</v>
          </cell>
        </row>
        <row r="36">
          <cell r="I36">
            <v>35824</v>
          </cell>
          <cell r="J36">
            <v>12.009185846238816</v>
          </cell>
          <cell r="K36">
            <v>48.036743384955265</v>
          </cell>
        </row>
        <row r="37">
          <cell r="I37">
            <v>35825</v>
          </cell>
          <cell r="J37">
            <v>12.081858680406677</v>
          </cell>
          <cell r="K37">
            <v>48.327434721626709</v>
          </cell>
        </row>
        <row r="38">
          <cell r="I38">
            <v>35828</v>
          </cell>
          <cell r="J38">
            <v>11.991017637696851</v>
          </cell>
          <cell r="K38">
            <v>47.964070550787405</v>
          </cell>
        </row>
        <row r="39">
          <cell r="I39">
            <v>35829</v>
          </cell>
          <cell r="J39">
            <v>12.081858680406677</v>
          </cell>
          <cell r="K39">
            <v>48.327434721626709</v>
          </cell>
        </row>
        <row r="40">
          <cell r="I40">
            <v>35830</v>
          </cell>
          <cell r="J40">
            <v>12.172699723116502</v>
          </cell>
          <cell r="K40">
            <v>48.690798892466006</v>
          </cell>
        </row>
        <row r="41">
          <cell r="I41">
            <v>35831</v>
          </cell>
          <cell r="J41">
            <v>12.063690471864712</v>
          </cell>
          <cell r="K41">
            <v>48.254761887458848</v>
          </cell>
        </row>
        <row r="42">
          <cell r="I42">
            <v>35832</v>
          </cell>
          <cell r="J42">
            <v>12.072774576135695</v>
          </cell>
          <cell r="K42">
            <v>48.291098304542778</v>
          </cell>
        </row>
        <row r="43">
          <cell r="I43">
            <v>35835</v>
          </cell>
          <cell r="J43">
            <v>12.118195097490606</v>
          </cell>
          <cell r="K43">
            <v>48.472780389962423</v>
          </cell>
        </row>
        <row r="44">
          <cell r="I44">
            <v>35836</v>
          </cell>
          <cell r="J44">
            <v>12.03</v>
          </cell>
          <cell r="K44">
            <v>48.12</v>
          </cell>
        </row>
        <row r="45">
          <cell r="I45">
            <v>35837</v>
          </cell>
          <cell r="J45">
            <v>12.445222851245974</v>
          </cell>
          <cell r="K45">
            <v>49.780891404983898</v>
          </cell>
        </row>
        <row r="46">
          <cell r="I46">
            <v>35838</v>
          </cell>
          <cell r="J46">
            <v>12.427054642704009</v>
          </cell>
          <cell r="K46">
            <v>49.708218570816037</v>
          </cell>
        </row>
        <row r="47">
          <cell r="I47">
            <v>35839</v>
          </cell>
          <cell r="J47">
            <v>12.590568519581694</v>
          </cell>
          <cell r="K47">
            <v>50.362274078326777</v>
          </cell>
        </row>
        <row r="48">
          <cell r="I48">
            <v>35842</v>
          </cell>
          <cell r="J48">
            <v>12.699577770833484</v>
          </cell>
          <cell r="K48">
            <v>50.798311083333935</v>
          </cell>
        </row>
        <row r="49">
          <cell r="I49">
            <v>35843</v>
          </cell>
          <cell r="J49">
            <v>12.808587022085273</v>
          </cell>
          <cell r="K49">
            <v>51.234348088341093</v>
          </cell>
        </row>
        <row r="50">
          <cell r="I50">
            <v>35844</v>
          </cell>
          <cell r="J50">
            <v>13.062941941672783</v>
          </cell>
          <cell r="K50">
            <v>52.251767766691131</v>
          </cell>
        </row>
        <row r="51">
          <cell r="I51">
            <v>35845</v>
          </cell>
          <cell r="J51">
            <v>13.353633278344221</v>
          </cell>
          <cell r="K51">
            <v>53.414533113376883</v>
          </cell>
        </row>
        <row r="52">
          <cell r="I52">
            <v>35846</v>
          </cell>
          <cell r="J52">
            <v>13.517147155221906</v>
          </cell>
          <cell r="K52">
            <v>54.068588620887624</v>
          </cell>
        </row>
        <row r="53">
          <cell r="I53">
            <v>35849</v>
          </cell>
          <cell r="J53">
            <v>14.334716539610328</v>
          </cell>
          <cell r="K53">
            <v>57.338866158441313</v>
          </cell>
        </row>
        <row r="54">
          <cell r="I54">
            <v>35850</v>
          </cell>
          <cell r="J54">
            <v>14.16211855846166</v>
          </cell>
          <cell r="K54">
            <v>56.648474233846642</v>
          </cell>
        </row>
        <row r="55">
          <cell r="I55">
            <v>35851</v>
          </cell>
          <cell r="J55">
            <v>14.443725790862118</v>
          </cell>
          <cell r="K55">
            <v>57.774903163448471</v>
          </cell>
        </row>
        <row r="56">
          <cell r="I56">
            <v>35852</v>
          </cell>
          <cell r="J56">
            <v>14.807089961701415</v>
          </cell>
          <cell r="K56">
            <v>59.22835984680566</v>
          </cell>
        </row>
        <row r="57">
          <cell r="I57">
            <v>35853</v>
          </cell>
          <cell r="J57">
            <v>14.262043705442467</v>
          </cell>
          <cell r="K57">
            <v>57.048174821769869</v>
          </cell>
        </row>
        <row r="58">
          <cell r="I58">
            <v>35856</v>
          </cell>
          <cell r="J58">
            <v>14.352884748152292</v>
          </cell>
          <cell r="K58">
            <v>57.411538992609167</v>
          </cell>
        </row>
        <row r="59">
          <cell r="I59">
            <v>35857</v>
          </cell>
          <cell r="J59">
            <v>14.498230416488012</v>
          </cell>
          <cell r="K59">
            <v>57.992921665952046</v>
          </cell>
        </row>
        <row r="60">
          <cell r="I60">
            <v>35858</v>
          </cell>
          <cell r="J60">
            <v>14.262043705442467</v>
          </cell>
          <cell r="K60">
            <v>57.048174821769869</v>
          </cell>
        </row>
        <row r="61">
          <cell r="I61">
            <v>35859</v>
          </cell>
          <cell r="J61">
            <v>14.080361620022819</v>
          </cell>
          <cell r="K61">
            <v>56.321446480091275</v>
          </cell>
        </row>
        <row r="62">
          <cell r="I62">
            <v>35860</v>
          </cell>
          <cell r="J62">
            <v>14.225</v>
          </cell>
          <cell r="K62">
            <v>56.9</v>
          </cell>
        </row>
        <row r="63">
          <cell r="I63">
            <v>35863</v>
          </cell>
          <cell r="J63">
            <v>14.225707288358537</v>
          </cell>
          <cell r="K63">
            <v>56.902829153434148</v>
          </cell>
        </row>
        <row r="64">
          <cell r="I64">
            <v>35864</v>
          </cell>
          <cell r="J64">
            <v>14.134866245648713</v>
          </cell>
          <cell r="K64">
            <v>56.539464982594851</v>
          </cell>
        </row>
        <row r="65">
          <cell r="I65">
            <v>35865</v>
          </cell>
          <cell r="J65">
            <v>13.807838491893344</v>
          </cell>
          <cell r="K65">
            <v>55.231353967573376</v>
          </cell>
        </row>
        <row r="66">
          <cell r="I66">
            <v>35866</v>
          </cell>
          <cell r="J66">
            <v>13.426306112512082</v>
          </cell>
          <cell r="K66">
            <v>53.705224450048327</v>
          </cell>
        </row>
        <row r="67">
          <cell r="I67">
            <v>35867</v>
          </cell>
          <cell r="J67">
            <v>13.389969695428151</v>
          </cell>
          <cell r="K67">
            <v>53.559878781712605</v>
          </cell>
        </row>
        <row r="68">
          <cell r="I68">
            <v>35870</v>
          </cell>
          <cell r="J68">
            <v>13.353633278344221</v>
          </cell>
          <cell r="K68">
            <v>53.414533113376883</v>
          </cell>
        </row>
        <row r="69">
          <cell r="I69">
            <v>35871</v>
          </cell>
          <cell r="J69">
            <v>13.626156406473696</v>
          </cell>
          <cell r="K69">
            <v>54.504625625894782</v>
          </cell>
        </row>
        <row r="70">
          <cell r="I70">
            <v>35872</v>
          </cell>
          <cell r="J70">
            <v>13.826006700435309</v>
          </cell>
          <cell r="K70">
            <v>55.304026801741237</v>
          </cell>
        </row>
        <row r="71">
          <cell r="I71">
            <v>35873</v>
          </cell>
          <cell r="J71">
            <v>13.662492823557624</v>
          </cell>
          <cell r="K71">
            <v>54.649971294230497</v>
          </cell>
        </row>
        <row r="72">
          <cell r="I72">
            <v>35874</v>
          </cell>
          <cell r="J72">
            <v>13.626156406473696</v>
          </cell>
          <cell r="K72">
            <v>54.504625625894782</v>
          </cell>
        </row>
        <row r="73">
          <cell r="I73">
            <v>35877</v>
          </cell>
          <cell r="J73">
            <v>13.71699744918352</v>
          </cell>
          <cell r="K73">
            <v>54.867989796734079</v>
          </cell>
        </row>
        <row r="74">
          <cell r="I74">
            <v>35878</v>
          </cell>
          <cell r="J74">
            <v>13.71699744918352</v>
          </cell>
          <cell r="K74">
            <v>54.867989796734079</v>
          </cell>
        </row>
        <row r="75">
          <cell r="I75">
            <v>35879</v>
          </cell>
          <cell r="J75">
            <v>13.989520577312994</v>
          </cell>
          <cell r="K75">
            <v>55.958082309251978</v>
          </cell>
        </row>
        <row r="76">
          <cell r="I76">
            <v>35880</v>
          </cell>
          <cell r="J76">
            <v>13.925931847416116</v>
          </cell>
          <cell r="K76">
            <v>55.703727389664465</v>
          </cell>
        </row>
        <row r="77">
          <cell r="I77">
            <v>35881</v>
          </cell>
          <cell r="J77">
            <v>14.153034454190678</v>
          </cell>
          <cell r="K77">
            <v>56.612137816762711</v>
          </cell>
        </row>
        <row r="78">
          <cell r="I78">
            <v>35884</v>
          </cell>
          <cell r="J78">
            <v>14.225707288358537</v>
          </cell>
          <cell r="K78">
            <v>56.902829153434148</v>
          </cell>
        </row>
        <row r="79">
          <cell r="I79">
            <v>35885</v>
          </cell>
          <cell r="J79">
            <v>14.116698037106747</v>
          </cell>
          <cell r="K79">
            <v>56.46679214842699</v>
          </cell>
        </row>
        <row r="80">
          <cell r="I80">
            <v>35886</v>
          </cell>
          <cell r="J80">
            <v>14.189370871274608</v>
          </cell>
          <cell r="K80">
            <v>56.757483485098433</v>
          </cell>
        </row>
        <row r="81">
          <cell r="I81">
            <v>35887</v>
          </cell>
          <cell r="J81">
            <v>14.407389373778187</v>
          </cell>
          <cell r="K81">
            <v>57.629557495112749</v>
          </cell>
        </row>
        <row r="82">
          <cell r="I82">
            <v>35888</v>
          </cell>
          <cell r="J82">
            <v>14.534566833571942</v>
          </cell>
          <cell r="K82">
            <v>58.138267334287768</v>
          </cell>
        </row>
        <row r="83">
          <cell r="I83">
            <v>35891</v>
          </cell>
          <cell r="J83">
            <v>14.988772047121065</v>
          </cell>
          <cell r="K83">
            <v>59.955088188484261</v>
          </cell>
        </row>
        <row r="84">
          <cell r="I84">
            <v>35892</v>
          </cell>
          <cell r="J84">
            <v>14.9706038385791</v>
          </cell>
          <cell r="K84">
            <v>59.8824153543164</v>
          </cell>
        </row>
        <row r="85">
          <cell r="I85">
            <v>35893</v>
          </cell>
          <cell r="J85">
            <v>14.82525817024338</v>
          </cell>
          <cell r="K85">
            <v>59.30103268097352</v>
          </cell>
        </row>
        <row r="86">
          <cell r="I86">
            <v>35894</v>
          </cell>
          <cell r="J86">
            <v>14.752585336075521</v>
          </cell>
          <cell r="K86">
            <v>59.010341344302084</v>
          </cell>
        </row>
        <row r="87">
          <cell r="I87">
            <v>35899</v>
          </cell>
          <cell r="J87">
            <v>14.807089961701415</v>
          </cell>
          <cell r="K87">
            <v>59.22835984680566</v>
          </cell>
        </row>
        <row r="88">
          <cell r="I88">
            <v>35900</v>
          </cell>
          <cell r="J88">
            <v>14.986955226266868</v>
          </cell>
          <cell r="K88">
            <v>59.947820905067474</v>
          </cell>
        </row>
        <row r="89">
          <cell r="I89">
            <v>35901</v>
          </cell>
          <cell r="J89">
            <v>14.897931004411241</v>
          </cell>
          <cell r="K89">
            <v>59.591724017644964</v>
          </cell>
        </row>
        <row r="90">
          <cell r="I90">
            <v>35902</v>
          </cell>
          <cell r="J90">
            <v>14.570903250655871</v>
          </cell>
          <cell r="K90">
            <v>58.283613002623483</v>
          </cell>
        </row>
        <row r="91">
          <cell r="I91">
            <v>35905</v>
          </cell>
          <cell r="J91">
            <v>14.807089961701415</v>
          </cell>
          <cell r="K91">
            <v>59.22835984680566</v>
          </cell>
        </row>
        <row r="92">
          <cell r="I92">
            <v>35906</v>
          </cell>
          <cell r="J92">
            <v>15.315799800876434</v>
          </cell>
          <cell r="K92">
            <v>61.263199203505735</v>
          </cell>
        </row>
        <row r="93">
          <cell r="I93">
            <v>35907</v>
          </cell>
          <cell r="J93">
            <v>15.624659346089837</v>
          </cell>
          <cell r="K93">
            <v>62.498637384359348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 refreshError="1"/>
      <sheetData sheetId="63" refreshError="1"/>
      <sheetData sheetId="64"/>
      <sheetData sheetId="65" refreshError="1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_figures"/>
      <sheetName val="Fin_statements "/>
      <sheetName val="Fin_Statements_IFRS9"/>
      <sheetName val="Macro (2)"/>
      <sheetName val="Macro"/>
      <sheetName val="Shareholder_struc"/>
      <sheetName val="IR calendar"/>
      <sheetName val="Contacts"/>
    </sheetNames>
    <definedNames>
      <definedName name="MPR_česky" sheetId="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Ceska"/>
      <sheetName val="DDM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"/>
      <sheetName val="Current Account"/>
      <sheetName val="CPI"/>
      <sheetName val="Unemployment"/>
      <sheetName val="Interest rates"/>
      <sheetName val="Grafy"/>
    </sheetNames>
    <sheetDataSet>
      <sheetData sheetId="0" refreshError="1"/>
      <sheetData sheetId="1" refreshError="1"/>
      <sheetData sheetId="2" refreshError="1">
        <row r="21">
          <cell r="D21">
            <v>8.884501480750373E-3</v>
          </cell>
        </row>
      </sheetData>
      <sheetData sheetId="3" refreshError="1"/>
      <sheetData sheetId="4" refreshError="1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M"/>
      <sheetName val="vekofky"/>
      <sheetName val="mezinar"/>
      <sheetName val="snat.kohorty"/>
      <sheetName val="Tabulky"/>
      <sheetName val="uro 1950-80"/>
      <sheetName val="uro"/>
      <sheetName val="Graf uro"/>
      <sheetName val="muzi"/>
      <sheetName val="GrafM"/>
      <sheetName val="GrafM2"/>
      <sheetName val="zeny"/>
      <sheetName val="GrafZ"/>
      <sheetName val="GrafZ2"/>
      <sheetName val="veky"/>
      <sheetName val="deti"/>
      <sheetName val="mrm"/>
      <sheetName val="poradi"/>
      <sheetName val="okresy"/>
      <sheetName val="priciny"/>
      <sheetName val="dlouhodoby"/>
      <sheetName val="1900-49"/>
      <sheetName val="rozvedeni"/>
      <sheetName val="rozvod.tabulky"/>
      <sheetName val="snatky"/>
      <sheetName val="mesice"/>
      <sheetName val="standard"/>
      <sheetName val="2001"/>
      <sheetName val="vyrizeni"/>
      <sheetName val="Grafiky"/>
      <sheetName val="vzdelani R"/>
      <sheetName val="vzdelani plodnost"/>
      <sheetName val="plodnost manzXmimo"/>
      <sheetName val="Scita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ehrung"/>
      <sheetName val="Ergebnis"/>
      <sheetName val="Quelle"/>
      <sheetName val="GESAMT (3)"/>
      <sheetName val="GESAMT (2)"/>
      <sheetName val="GESAMT"/>
      <sheetName val="AK1+Equity"/>
      <sheetName val="E2072"/>
      <sheetName val="E2100"/>
      <sheetName val="E2124"/>
      <sheetName val="E2127"/>
      <sheetName val="E2139"/>
      <sheetName val="E2140"/>
      <sheetName val="E21401"/>
      <sheetName val="E2145"/>
      <sheetName val="E21451"/>
      <sheetName val="E2171"/>
      <sheetName val="E21711"/>
      <sheetName val="E2186"/>
      <sheetName val="E2300"/>
      <sheetName val="E2301"/>
      <sheetName val="E2340"/>
      <sheetName val="E2342"/>
      <sheetName val="E2401"/>
      <sheetName val="E2402"/>
      <sheetName val="E2404"/>
      <sheetName val="E2414"/>
      <sheetName val="E2416"/>
      <sheetName val="E2502"/>
      <sheetName val="E2503"/>
      <sheetName val="E2504"/>
      <sheetName val="E2505"/>
      <sheetName val="E3200"/>
      <sheetName val="E3202"/>
      <sheetName val="E3205"/>
      <sheetName val="E3300"/>
      <sheetName val="E3309"/>
      <sheetName val="E3314"/>
      <sheetName val="E3338"/>
      <sheetName val="E3409"/>
      <sheetName val="E3601"/>
      <sheetName val="E3611"/>
      <sheetName val="E3646"/>
      <sheetName val="E3700"/>
      <sheetName val="E3711"/>
      <sheetName val="E3712"/>
      <sheetName val="E3717"/>
      <sheetName val="E3721"/>
      <sheetName val="E3722"/>
      <sheetName val="E3753"/>
      <sheetName val="E3780"/>
      <sheetName val="E3786"/>
      <sheetName val="E3790"/>
      <sheetName val="E3800"/>
      <sheetName val="E3801"/>
      <sheetName val="E3838"/>
      <sheetName val="ERSTE"/>
      <sheetName val="GOODWILL"/>
      <sheetName val="H5424"/>
      <sheetName val="H5426"/>
      <sheetName val="H5427"/>
      <sheetName val="H5430"/>
      <sheetName val="M3251"/>
      <sheetName val="M3252"/>
      <sheetName val="M3732"/>
      <sheetName val="M3776"/>
      <sheetName val="M3778"/>
      <sheetName val="S3213"/>
      <sheetName val="S3224"/>
      <sheetName val="S3240"/>
      <sheetName val="S3241"/>
      <sheetName val="S3242"/>
      <sheetName val="S3243"/>
      <sheetName val="S3244"/>
      <sheetName val="S3245"/>
      <sheetName val="S3301"/>
      <sheetName val="T3852"/>
      <sheetName val="T3872"/>
      <sheetName val="V3316"/>
      <sheetName val="V3374"/>
      <sheetName val="V3376"/>
      <sheetName val="V3767"/>
      <sheetName val="X2102"/>
      <sheetName val="X2110"/>
      <sheetName val="X2320"/>
      <sheetName val="X2511"/>
      <sheetName val="X2512"/>
      <sheetName val="X2521"/>
      <sheetName val="X2528"/>
      <sheetName val="X2531"/>
      <sheetName val="X3250"/>
      <sheetName val="X3375"/>
      <sheetName val="X3663"/>
      <sheetName val="X3741"/>
      <sheetName val="E2100_ATS"/>
      <sheetName val="E2127_CZK"/>
      <sheetName val="E2139_HUF"/>
      <sheetName val="E21401_SKK"/>
      <sheetName val="E21451_CZK"/>
      <sheetName val="E2171_ATS"/>
      <sheetName val="E21711_ATS"/>
      <sheetName val="E2186_ATS"/>
      <sheetName val="E2401_ATS"/>
      <sheetName val="E2404_ATS"/>
      <sheetName val="E2416_ATS"/>
      <sheetName val="E2502_PLN"/>
      <sheetName val="E2504_PLN"/>
      <sheetName val="E2505_HUF"/>
      <sheetName val="E3202_ATS"/>
      <sheetName val="E3205_ATS"/>
      <sheetName val="E3711_ATS"/>
      <sheetName val="E3711AUF_ATS"/>
      <sheetName val="E3838_ATS"/>
      <sheetName val="E3786_ATS"/>
      <sheetName val="ERSTE_ATS"/>
      <sheetName val="H5424_ATS"/>
      <sheetName val="H5426_ATS"/>
      <sheetName val="H5427_ATS"/>
      <sheetName val="H5430_ATS"/>
      <sheetName val="M3251_HUF"/>
      <sheetName val="M3252_HUF"/>
      <sheetName val="M3732_HUF"/>
      <sheetName val="M3776_HUF"/>
      <sheetName val="M3778_HUF"/>
      <sheetName val="S3224_ATS"/>
      <sheetName val="S3301_ATS"/>
      <sheetName val="T3852_ATS"/>
      <sheetName val="V3374_ATS"/>
      <sheetName val="V3376_ATS"/>
      <sheetName val="X2110_HUF"/>
      <sheetName val="X2320_ATS"/>
      <sheetName val="X2511_HUF"/>
      <sheetName val="X2512_HUF"/>
      <sheetName val="X3375_ATS"/>
      <sheetName val="GOODWILL_ATS"/>
      <sheetName val="E2140_SUM_SKK"/>
      <sheetName val="E2145_SU_CZK"/>
      <sheetName val="E2301_SUM_GBP"/>
      <sheetName val="E2503_SUM_HRK"/>
      <sheetName val="SUMME HUF"/>
      <sheetName val="SUMME PLN"/>
      <sheetName val="SUMME FREMDW"/>
      <sheetName val="ZU IN KONSKREIS"/>
      <sheetName val="ZAKLAD"/>
      <sheetName val="RT"/>
      <sheetName val="DO"/>
      <sheetName val="ZD"/>
      <sheetName val="Temp"/>
    </sheetNames>
    <sheetDataSet>
      <sheetData sheetId="0" refreshError="1">
        <row r="13">
          <cell r="D13">
            <v>43.933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Data"/>
      <sheetName val="PLCC-DATA"/>
      <sheetName val="LOANS-DATA"/>
      <sheetName val="SF-DATA"/>
      <sheetName val="BANKCARDS-DATA"/>
      <sheetName val="GRAPH DATA"/>
      <sheetName val="CV Graphs"/>
      <sheetName val="Rec bar chart"/>
    </sheetNames>
    <sheetDataSet>
      <sheetData sheetId="0" refreshError="1">
        <row r="27">
          <cell r="B27">
            <v>35796</v>
          </cell>
          <cell r="C27">
            <v>35827</v>
          </cell>
          <cell r="D27">
            <v>35855</v>
          </cell>
          <cell r="E27">
            <v>35886</v>
          </cell>
          <cell r="F27">
            <v>35916</v>
          </cell>
          <cell r="G27">
            <v>35947</v>
          </cell>
          <cell r="H27">
            <v>35977</v>
          </cell>
          <cell r="I27">
            <v>36008</v>
          </cell>
          <cell r="J27">
            <v>36039</v>
          </cell>
          <cell r="K27">
            <v>36069</v>
          </cell>
          <cell r="L27">
            <v>36100</v>
          </cell>
          <cell r="M27">
            <v>36130</v>
          </cell>
        </row>
        <row r="28">
          <cell r="A28" t="str">
            <v>PLCC</v>
          </cell>
          <cell r="B28">
            <v>1850170.0801440002</v>
          </cell>
          <cell r="C28">
            <v>1779425.1569119999</v>
          </cell>
          <cell r="D28">
            <v>1753140.8293920003</v>
          </cell>
          <cell r="E28">
            <v>1757793.5131679997</v>
          </cell>
          <cell r="F28">
            <v>1779547.0947840002</v>
          </cell>
          <cell r="G28">
            <v>1765373.5506080003</v>
          </cell>
          <cell r="H28">
            <v>1828220.3295839999</v>
          </cell>
          <cell r="I28">
            <v>1808399.5273760003</v>
          </cell>
          <cell r="J28">
            <v>1874145.5405759998</v>
          </cell>
          <cell r="K28">
            <v>1919481.195792</v>
          </cell>
          <cell r="L28">
            <v>1977696.3173120003</v>
          </cell>
          <cell r="M28">
            <v>2182120.2755520004</v>
          </cell>
        </row>
        <row r="29">
          <cell r="A29" t="str">
            <v>SALES FINANCE</v>
          </cell>
          <cell r="B29">
            <v>1055982.6818239999</v>
          </cell>
          <cell r="C29">
            <v>1025070.0709759996</v>
          </cell>
          <cell r="D29">
            <v>1015329.0764960003</v>
          </cell>
          <cell r="E29">
            <v>1001208.0575680002</v>
          </cell>
          <cell r="F29">
            <v>975299.95902399987</v>
          </cell>
          <cell r="G29">
            <v>939205.60939200001</v>
          </cell>
          <cell r="H29">
            <v>905729.22772799991</v>
          </cell>
          <cell r="I29">
            <v>881662.98436800018</v>
          </cell>
          <cell r="J29">
            <v>859680.81497599988</v>
          </cell>
          <cell r="K29">
            <v>840745.77089599986</v>
          </cell>
          <cell r="L29">
            <v>838917.93372800003</v>
          </cell>
          <cell r="M29">
            <v>848036.77272000024</v>
          </cell>
        </row>
        <row r="30">
          <cell r="A30" t="str">
            <v>LOANS</v>
          </cell>
          <cell r="B30">
            <v>45327.931647999998</v>
          </cell>
          <cell r="C30">
            <v>47863.516704000009</v>
          </cell>
          <cell r="D30">
            <v>53866.463312000014</v>
          </cell>
          <cell r="E30">
            <v>58792.690784000013</v>
          </cell>
          <cell r="F30">
            <v>63236.477952000023</v>
          </cell>
          <cell r="G30">
            <v>61349.434383999993</v>
          </cell>
          <cell r="H30">
            <v>59684.386671999993</v>
          </cell>
          <cell r="I30">
            <v>58451.720848000004</v>
          </cell>
          <cell r="J30">
            <v>59163.407344000007</v>
          </cell>
          <cell r="K30">
            <v>58268.313280000002</v>
          </cell>
          <cell r="L30">
            <v>61459.667200000004</v>
          </cell>
          <cell r="M30">
            <v>66290.150063999987</v>
          </cell>
        </row>
        <row r="31">
          <cell r="A31" t="str">
            <v>BANKCARDS</v>
          </cell>
          <cell r="B31">
            <v>48466.491184000006</v>
          </cell>
          <cell r="C31">
            <v>47112.852768000004</v>
          </cell>
          <cell r="D31">
            <v>46029.97449600001</v>
          </cell>
          <cell r="E31">
            <v>45988.448320000003</v>
          </cell>
          <cell r="F31">
            <v>44866.035824000006</v>
          </cell>
          <cell r="G31">
            <v>44408.498272000004</v>
          </cell>
          <cell r="H31">
            <v>43996.670080000004</v>
          </cell>
          <cell r="I31">
            <v>44114.963344000011</v>
          </cell>
          <cell r="J31">
            <v>43022.304223999992</v>
          </cell>
          <cell r="K31">
            <v>42622.193072000002</v>
          </cell>
          <cell r="L31">
            <v>41767.707519999996</v>
          </cell>
          <cell r="M31">
            <v>40805.88932799999</v>
          </cell>
        </row>
        <row r="44">
          <cell r="B44">
            <v>36161</v>
          </cell>
          <cell r="C44">
            <v>36192</v>
          </cell>
          <cell r="D44">
            <v>36220</v>
          </cell>
          <cell r="E44">
            <v>36251</v>
          </cell>
          <cell r="F44">
            <v>36281</v>
          </cell>
          <cell r="G44">
            <v>36312</v>
          </cell>
          <cell r="H44">
            <v>36342</v>
          </cell>
          <cell r="I44">
            <v>36373</v>
          </cell>
          <cell r="J44">
            <v>36404</v>
          </cell>
          <cell r="K44">
            <v>36434</v>
          </cell>
          <cell r="L44">
            <v>36465</v>
          </cell>
          <cell r="M44">
            <v>36495</v>
          </cell>
        </row>
        <row r="45">
          <cell r="A45" t="str">
            <v>PLCC</v>
          </cell>
          <cell r="B45">
            <v>2133936.3887519999</v>
          </cell>
          <cell r="C45">
            <v>2036682.6916960003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SALES FINANCE</v>
          </cell>
          <cell r="B46">
            <v>829122.27150399983</v>
          </cell>
          <cell r="C46">
            <v>800976.61900800001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LOANS</v>
          </cell>
          <cell r="B47">
            <v>60167.947615999998</v>
          </cell>
          <cell r="C47">
            <v>62979.456687999998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BANKCARDS</v>
          </cell>
          <cell r="B48">
            <v>44586.45304</v>
          </cell>
          <cell r="C48">
            <v>43746.910016000009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A) Loans 001"/>
      <sheetName val="(B) Loans business 002"/>
      <sheetName val="(C) Good vs Bad 003"/>
      <sheetName val="(D) GoodBad BL 004"/>
      <sheetName val="(E) Collateral 005"/>
      <sheetName val="(E) Collateral 018"/>
      <sheetName val="(F) request 011"/>
      <sheetName val="(G) request 012"/>
      <sheetName val="(H) request 013"/>
      <sheetName val="(I) request 014"/>
      <sheetName val="(J) request 015"/>
      <sheetName val="(K) request 016"/>
      <sheetName val="(L) request 01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ing vozidl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sadlek@csas.cz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2:DA32"/>
  <sheetViews>
    <sheetView showGridLines="0" tabSelected="1" zoomScaleNormal="100" workbookViewId="0">
      <pane xSplit="2" ySplit="4" topLeftCell="CT5" activePane="bottomRight" state="frozen"/>
      <selection activeCell="CR21" sqref="CR21"/>
      <selection pane="topRight" activeCell="CR21" sqref="CR21"/>
      <selection pane="bottomLeft" activeCell="CR21" sqref="CR21"/>
      <selection pane="bottomRight"/>
    </sheetView>
  </sheetViews>
  <sheetFormatPr defaultColWidth="9.28515625" defaultRowHeight="12.75"/>
  <cols>
    <col min="1" max="1" width="3.42578125" style="13" customWidth="1"/>
    <col min="2" max="2" width="61.28515625" style="13" customWidth="1"/>
    <col min="3" max="7" width="11.5703125" style="13" hidden="1" customWidth="1"/>
    <col min="8" max="9" width="11.28515625" style="13" hidden="1" customWidth="1"/>
    <col min="10" max="10" width="12" style="13" hidden="1" customWidth="1"/>
    <col min="11" max="13" width="11.28515625" style="13" hidden="1" customWidth="1"/>
    <col min="14" max="45" width="12" style="13" hidden="1" customWidth="1"/>
    <col min="46" max="48" width="11.42578125" style="13" hidden="1" customWidth="1"/>
    <col min="49" max="49" width="11.7109375" style="13" hidden="1" customWidth="1"/>
    <col min="50" max="53" width="11.42578125" style="13" hidden="1" customWidth="1"/>
    <col min="54" max="54" width="10.5703125" style="13" hidden="1" customWidth="1"/>
    <col min="55" max="55" width="12.42578125" style="14" hidden="1" customWidth="1"/>
    <col min="56" max="57" width="11.7109375" style="13" hidden="1" customWidth="1"/>
    <col min="58" max="58" width="10.7109375" style="13" hidden="1" customWidth="1"/>
    <col min="59" max="59" width="10.28515625" style="13" hidden="1" customWidth="1"/>
    <col min="60" max="61" width="11.28515625" style="13" hidden="1" customWidth="1"/>
    <col min="62" max="62" width="11.7109375" style="13" hidden="1" customWidth="1"/>
    <col min="63" max="63" width="10.28515625" style="13" hidden="1" customWidth="1"/>
    <col min="64" max="65" width="11.28515625" style="13" hidden="1" customWidth="1"/>
    <col min="66" max="66" width="10.28515625" style="13" hidden="1" customWidth="1"/>
    <col min="67" max="67" width="11.28515625" style="13" hidden="1" customWidth="1"/>
    <col min="68" max="71" width="11.7109375" style="13" hidden="1" customWidth="1"/>
    <col min="72" max="72" width="9.28515625" style="13" hidden="1" customWidth="1"/>
    <col min="73" max="84" width="10.85546875" style="13" hidden="1" customWidth="1"/>
    <col min="85" max="88" width="11.28515625" style="13" hidden="1" customWidth="1"/>
    <col min="89" max="103" width="11.28515625" style="13" customWidth="1"/>
    <col min="104" max="104" width="10.42578125" style="13" customWidth="1"/>
    <col min="105" max="105" width="10.5703125" style="13" customWidth="1"/>
    <col min="106" max="16384" width="9.28515625" style="13"/>
  </cols>
  <sheetData>
    <row r="2" spans="2:105" ht="26.25">
      <c r="B2" s="25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2:105" ht="13.5" thickBot="1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2:105" s="15" customFormat="1" ht="15" customHeight="1" thickBot="1">
      <c r="B4" s="110" t="s">
        <v>3</v>
      </c>
      <c r="C4" s="95">
        <v>37621</v>
      </c>
      <c r="D4" s="95">
        <v>37711</v>
      </c>
      <c r="E4" s="95">
        <v>37802</v>
      </c>
      <c r="F4" s="95">
        <v>37894</v>
      </c>
      <c r="G4" s="95">
        <v>37986</v>
      </c>
      <c r="H4" s="95">
        <v>38077</v>
      </c>
      <c r="I4" s="95">
        <v>38168</v>
      </c>
      <c r="J4" s="95">
        <v>38260</v>
      </c>
      <c r="K4" s="95">
        <v>38352</v>
      </c>
      <c r="L4" s="95">
        <v>38442</v>
      </c>
      <c r="M4" s="95">
        <v>38533</v>
      </c>
      <c r="N4" s="95">
        <v>38625</v>
      </c>
      <c r="O4" s="95">
        <v>38717</v>
      </c>
      <c r="P4" s="95">
        <v>38807</v>
      </c>
      <c r="Q4" s="95">
        <v>38898</v>
      </c>
      <c r="R4" s="95">
        <v>38990</v>
      </c>
      <c r="S4" s="95">
        <v>39082</v>
      </c>
      <c r="T4" s="95">
        <v>39172</v>
      </c>
      <c r="U4" s="95">
        <v>39263</v>
      </c>
      <c r="V4" s="95">
        <v>39355</v>
      </c>
      <c r="W4" s="95">
        <v>39447</v>
      </c>
      <c r="X4" s="95">
        <v>39538</v>
      </c>
      <c r="Y4" s="95">
        <v>39629</v>
      </c>
      <c r="Z4" s="95">
        <v>39721</v>
      </c>
      <c r="AA4" s="95">
        <v>39813</v>
      </c>
      <c r="AB4" s="95">
        <v>39903</v>
      </c>
      <c r="AC4" s="95">
        <v>39994</v>
      </c>
      <c r="AD4" s="95">
        <v>40086</v>
      </c>
      <c r="AE4" s="95">
        <v>40178</v>
      </c>
      <c r="AF4" s="96" t="s">
        <v>180</v>
      </c>
      <c r="AG4" s="95">
        <v>40268</v>
      </c>
      <c r="AH4" s="96" t="s">
        <v>181</v>
      </c>
      <c r="AI4" s="95">
        <v>40359</v>
      </c>
      <c r="AJ4" s="96" t="s">
        <v>182</v>
      </c>
      <c r="AK4" s="95">
        <v>40451</v>
      </c>
      <c r="AL4" s="96" t="s">
        <v>183</v>
      </c>
      <c r="AM4" s="95">
        <v>40543</v>
      </c>
      <c r="AN4" s="96" t="s">
        <v>184</v>
      </c>
      <c r="AO4" s="95">
        <v>40633</v>
      </c>
      <c r="AP4" s="96" t="s">
        <v>185</v>
      </c>
      <c r="AQ4" s="95">
        <v>40724</v>
      </c>
      <c r="AR4" s="96" t="s">
        <v>186</v>
      </c>
      <c r="AS4" s="95">
        <v>40816</v>
      </c>
      <c r="AT4" s="96" t="s">
        <v>187</v>
      </c>
      <c r="AU4" s="95">
        <v>40908</v>
      </c>
      <c r="AV4" s="95" t="s">
        <v>188</v>
      </c>
      <c r="AW4" s="95">
        <v>40999</v>
      </c>
      <c r="AX4" s="95">
        <v>41090</v>
      </c>
      <c r="AY4" s="95">
        <v>41182</v>
      </c>
      <c r="AZ4" s="95">
        <v>41274</v>
      </c>
      <c r="BA4" s="95">
        <v>41364</v>
      </c>
      <c r="BB4" s="95">
        <v>41455</v>
      </c>
      <c r="BC4" s="95">
        <v>41547</v>
      </c>
      <c r="BD4" s="95">
        <v>41639</v>
      </c>
      <c r="BE4" s="95">
        <v>41729</v>
      </c>
      <c r="BF4" s="95">
        <v>41820</v>
      </c>
      <c r="BG4" s="95">
        <v>41912</v>
      </c>
      <c r="BH4" s="95">
        <v>42004</v>
      </c>
      <c r="BI4" s="95">
        <v>42094</v>
      </c>
      <c r="BJ4" s="95">
        <v>42185</v>
      </c>
      <c r="BK4" s="95">
        <v>42277</v>
      </c>
      <c r="BL4" s="95">
        <v>42369</v>
      </c>
      <c r="BM4" s="95">
        <v>42460</v>
      </c>
      <c r="BN4" s="95">
        <v>42551</v>
      </c>
      <c r="BO4" s="95">
        <v>42643</v>
      </c>
      <c r="BP4" s="95">
        <v>42735</v>
      </c>
      <c r="BQ4" s="95">
        <v>42825</v>
      </c>
      <c r="BR4" s="95">
        <v>42916</v>
      </c>
      <c r="BS4" s="95">
        <v>43008</v>
      </c>
      <c r="BT4" s="95">
        <v>43100</v>
      </c>
      <c r="BU4" s="95">
        <v>43190</v>
      </c>
      <c r="BV4" s="95">
        <v>43281</v>
      </c>
      <c r="BW4" s="95">
        <v>43373</v>
      </c>
      <c r="BX4" s="95">
        <v>43465</v>
      </c>
      <c r="BY4" s="95">
        <v>43555</v>
      </c>
      <c r="BZ4" s="95">
        <v>43646</v>
      </c>
      <c r="CA4" s="95">
        <v>43738</v>
      </c>
      <c r="CB4" s="95">
        <v>43830</v>
      </c>
      <c r="CC4" s="95">
        <v>43921</v>
      </c>
      <c r="CD4" s="95">
        <v>44012</v>
      </c>
      <c r="CE4" s="95">
        <v>44104</v>
      </c>
      <c r="CF4" s="95">
        <v>44196</v>
      </c>
      <c r="CG4" s="95">
        <v>44286</v>
      </c>
      <c r="CH4" s="95">
        <v>44377</v>
      </c>
      <c r="CI4" s="95">
        <v>44469</v>
      </c>
      <c r="CJ4" s="95">
        <v>44561</v>
      </c>
      <c r="CK4" s="95">
        <v>44651</v>
      </c>
      <c r="CL4" s="95">
        <v>44742</v>
      </c>
      <c r="CM4" s="95">
        <v>44834</v>
      </c>
      <c r="CN4" s="95">
        <v>44926</v>
      </c>
      <c r="CO4" s="95">
        <v>45016</v>
      </c>
      <c r="CP4" s="95">
        <v>45107</v>
      </c>
      <c r="CQ4" s="95">
        <v>45199</v>
      </c>
      <c r="CR4" s="95">
        <v>45291</v>
      </c>
      <c r="CS4" s="95">
        <v>45382</v>
      </c>
      <c r="CT4" s="95">
        <v>45473</v>
      </c>
      <c r="CU4" s="95">
        <v>45565</v>
      </c>
      <c r="CV4" s="95">
        <v>45657</v>
      </c>
      <c r="CW4" s="95">
        <v>45747</v>
      </c>
      <c r="CX4" s="95">
        <v>45838</v>
      </c>
      <c r="CY4" s="95">
        <v>45930</v>
      </c>
      <c r="CZ4" s="95">
        <v>46022</v>
      </c>
      <c r="DA4" s="95">
        <v>46112</v>
      </c>
    </row>
    <row r="5" spans="2:105" ht="16.5" customHeight="1">
      <c r="B5" s="101" t="s">
        <v>4</v>
      </c>
      <c r="C5" s="102">
        <v>519691</v>
      </c>
      <c r="D5" s="102">
        <v>549557</v>
      </c>
      <c r="E5" s="102">
        <v>557431</v>
      </c>
      <c r="F5" s="102">
        <v>565472</v>
      </c>
      <c r="G5" s="102">
        <v>554048</v>
      </c>
      <c r="H5" s="102">
        <v>620291</v>
      </c>
      <c r="I5" s="102">
        <v>576787</v>
      </c>
      <c r="J5" s="102">
        <v>598471</v>
      </c>
      <c r="K5" s="102">
        <v>581780</v>
      </c>
      <c r="L5" s="102">
        <v>616664</v>
      </c>
      <c r="M5" s="102">
        <v>630938</v>
      </c>
      <c r="N5" s="102">
        <v>664343</v>
      </c>
      <c r="O5" s="102">
        <v>654064</v>
      </c>
      <c r="P5" s="102">
        <v>678993</v>
      </c>
      <c r="Q5" s="102">
        <v>704031</v>
      </c>
      <c r="R5" s="102">
        <v>715383</v>
      </c>
      <c r="S5" s="102">
        <v>728393</v>
      </c>
      <c r="T5" s="102">
        <v>793985</v>
      </c>
      <c r="U5" s="102">
        <v>815582</v>
      </c>
      <c r="V5" s="102">
        <v>855469</v>
      </c>
      <c r="W5" s="102">
        <v>814125</v>
      </c>
      <c r="X5" s="102">
        <v>844571</v>
      </c>
      <c r="Y5" s="102">
        <v>873918</v>
      </c>
      <c r="Z5" s="102">
        <v>878511</v>
      </c>
      <c r="AA5" s="102">
        <v>862230</v>
      </c>
      <c r="AB5" s="102">
        <v>874732</v>
      </c>
      <c r="AC5" s="102">
        <v>858457</v>
      </c>
      <c r="AD5" s="102">
        <v>856702</v>
      </c>
      <c r="AE5" s="102">
        <v>855137</v>
      </c>
      <c r="AF5" s="102">
        <v>855130</v>
      </c>
      <c r="AG5" s="102">
        <v>891461</v>
      </c>
      <c r="AH5" s="102">
        <v>891396</v>
      </c>
      <c r="AI5" s="102">
        <v>926651</v>
      </c>
      <c r="AJ5" s="102">
        <v>926525</v>
      </c>
      <c r="AK5" s="102">
        <v>891755</v>
      </c>
      <c r="AL5" s="102">
        <v>891549.16</v>
      </c>
      <c r="AM5" s="102">
        <v>881629</v>
      </c>
      <c r="AN5" s="102">
        <v>881628.99699999997</v>
      </c>
      <c r="AO5" s="102">
        <v>935631</v>
      </c>
      <c r="AP5" s="102">
        <v>935631</v>
      </c>
      <c r="AQ5" s="102">
        <v>907340</v>
      </c>
      <c r="AR5" s="102">
        <v>907340</v>
      </c>
      <c r="AS5" s="102">
        <v>932028.62400000007</v>
      </c>
      <c r="AT5" s="102">
        <v>932028.6248143306</v>
      </c>
      <c r="AU5" s="102">
        <v>892598</v>
      </c>
      <c r="AV5" s="102">
        <v>892598</v>
      </c>
      <c r="AW5" s="102">
        <v>911504.58480048843</v>
      </c>
      <c r="AX5" s="102">
        <v>914989.3297881363</v>
      </c>
      <c r="AY5" s="102">
        <v>915038.61559754831</v>
      </c>
      <c r="AZ5" s="102">
        <v>920403.42989860533</v>
      </c>
      <c r="BA5" s="102">
        <v>979597.04</v>
      </c>
      <c r="BB5" s="102">
        <v>958177.62542899884</v>
      </c>
      <c r="BC5" s="102">
        <v>943381</v>
      </c>
      <c r="BD5" s="102">
        <v>968723.40903200011</v>
      </c>
      <c r="BE5" s="102">
        <v>913937.85190400004</v>
      </c>
      <c r="BF5" s="102">
        <v>900331.6639729999</v>
      </c>
      <c r="BG5" s="102">
        <v>897275</v>
      </c>
      <c r="BH5" s="102">
        <v>902589</v>
      </c>
      <c r="BI5" s="102">
        <v>924870</v>
      </c>
      <c r="BJ5" s="102">
        <v>923499</v>
      </c>
      <c r="BK5" s="102">
        <v>959256</v>
      </c>
      <c r="BL5" s="102">
        <v>959584</v>
      </c>
      <c r="BM5" s="102">
        <v>997222</v>
      </c>
      <c r="BN5" s="102">
        <v>1037346</v>
      </c>
      <c r="BO5" s="102">
        <v>1085848</v>
      </c>
      <c r="BP5" s="102">
        <v>1066526</v>
      </c>
      <c r="BQ5" s="102">
        <v>1310841</v>
      </c>
      <c r="BR5" s="102">
        <v>1247571</v>
      </c>
      <c r="BS5" s="102">
        <v>1320954</v>
      </c>
      <c r="BT5" s="102">
        <v>1329223</v>
      </c>
      <c r="BU5" s="102">
        <v>1303274.4776310001</v>
      </c>
      <c r="BV5" s="102">
        <v>1431810.0375999999</v>
      </c>
      <c r="BW5" s="102">
        <v>1398058</v>
      </c>
      <c r="BX5" s="102">
        <v>1426465</v>
      </c>
      <c r="BY5" s="102">
        <v>1496462</v>
      </c>
      <c r="BZ5" s="102">
        <v>1504525</v>
      </c>
      <c r="CA5" s="102">
        <v>1573913</v>
      </c>
      <c r="CB5" s="102">
        <v>1458650</v>
      </c>
      <c r="CC5" s="102">
        <v>1688196</v>
      </c>
      <c r="CD5" s="102">
        <v>1667325</v>
      </c>
      <c r="CE5" s="102">
        <v>1642945</v>
      </c>
      <c r="CF5" s="102">
        <v>1537780</v>
      </c>
      <c r="CG5" s="102">
        <v>1716115</v>
      </c>
      <c r="CH5" s="102">
        <v>1676704</v>
      </c>
      <c r="CI5" s="102">
        <v>1785505</v>
      </c>
      <c r="CJ5" s="102">
        <v>1641741</v>
      </c>
      <c r="CK5" s="102">
        <v>1871836</v>
      </c>
      <c r="CL5" s="102">
        <v>1843839</v>
      </c>
      <c r="CM5" s="102">
        <v>1835423</v>
      </c>
      <c r="CN5" s="102">
        <v>1639938</v>
      </c>
      <c r="CO5" s="102">
        <v>1846809</v>
      </c>
      <c r="CP5" s="102">
        <v>1917363</v>
      </c>
      <c r="CQ5" s="102">
        <v>1878174</v>
      </c>
      <c r="CR5" s="102">
        <v>1797820</v>
      </c>
      <c r="CS5" s="102">
        <v>2021742</v>
      </c>
      <c r="CT5" s="102">
        <v>2054412</v>
      </c>
      <c r="CU5" s="102">
        <v>2052185</v>
      </c>
      <c r="CV5" s="102">
        <v>2030076</v>
      </c>
      <c r="CW5" s="102">
        <v>2056695</v>
      </c>
      <c r="CX5" s="102">
        <v>2081158</v>
      </c>
      <c r="CY5" s="102">
        <v>2099159</v>
      </c>
      <c r="CZ5" s="161">
        <v>2038533</v>
      </c>
      <c r="DA5" s="161">
        <v>2229880</v>
      </c>
    </row>
    <row r="6" spans="2:105" ht="16.5" customHeight="1">
      <c r="B6" s="97" t="s">
        <v>140</v>
      </c>
      <c r="C6" s="98">
        <v>169766</v>
      </c>
      <c r="D6" s="98">
        <v>171463</v>
      </c>
      <c r="E6" s="98">
        <v>177965</v>
      </c>
      <c r="F6" s="98">
        <v>188989</v>
      </c>
      <c r="G6" s="98">
        <v>205878</v>
      </c>
      <c r="H6" s="98">
        <v>206332</v>
      </c>
      <c r="I6" s="98">
        <v>215813</v>
      </c>
      <c r="J6" s="98">
        <v>234357</v>
      </c>
      <c r="K6" s="98">
        <v>232124</v>
      </c>
      <c r="L6" s="98">
        <v>243049</v>
      </c>
      <c r="M6" s="98">
        <v>255922</v>
      </c>
      <c r="N6" s="98">
        <v>266647</v>
      </c>
      <c r="O6" s="98">
        <v>276748</v>
      </c>
      <c r="P6" s="98">
        <v>287556</v>
      </c>
      <c r="Q6" s="98">
        <v>296940</v>
      </c>
      <c r="R6" s="98">
        <v>306677</v>
      </c>
      <c r="S6" s="98">
        <v>322766</v>
      </c>
      <c r="T6" s="98">
        <v>339870</v>
      </c>
      <c r="U6" s="98">
        <v>359609</v>
      </c>
      <c r="V6" s="98">
        <v>385401</v>
      </c>
      <c r="W6" s="98">
        <v>411605</v>
      </c>
      <c r="X6" s="98">
        <v>414607</v>
      </c>
      <c r="Y6" s="98">
        <v>425103</v>
      </c>
      <c r="Z6" s="98">
        <v>438085</v>
      </c>
      <c r="AA6" s="98">
        <v>452495</v>
      </c>
      <c r="AB6" s="98">
        <v>454077</v>
      </c>
      <c r="AC6" s="98">
        <v>456979</v>
      </c>
      <c r="AD6" s="98">
        <v>459535</v>
      </c>
      <c r="AE6" s="98">
        <v>454472</v>
      </c>
      <c r="AF6" s="98">
        <v>454472</v>
      </c>
      <c r="AG6" s="98">
        <v>449840</v>
      </c>
      <c r="AH6" s="98">
        <v>449840</v>
      </c>
      <c r="AI6" s="98">
        <v>444576</v>
      </c>
      <c r="AJ6" s="98">
        <v>444576</v>
      </c>
      <c r="AK6" s="98">
        <v>444404</v>
      </c>
      <c r="AL6" s="98">
        <v>444503.66399999999</v>
      </c>
      <c r="AM6" s="98">
        <v>440743</v>
      </c>
      <c r="AN6" s="98">
        <v>440844.18700000003</v>
      </c>
      <c r="AO6" s="98">
        <v>445972</v>
      </c>
      <c r="AP6" s="98">
        <v>446165</v>
      </c>
      <c r="AQ6" s="98">
        <v>442554</v>
      </c>
      <c r="AR6" s="98">
        <v>442780</v>
      </c>
      <c r="AS6" s="98">
        <v>450200</v>
      </c>
      <c r="AT6" s="98">
        <v>450200</v>
      </c>
      <c r="AU6" s="98">
        <v>465565</v>
      </c>
      <c r="AV6" s="98">
        <v>465565</v>
      </c>
      <c r="AW6" s="98">
        <v>463605</v>
      </c>
      <c r="AX6" s="98">
        <v>464333</v>
      </c>
      <c r="AY6" s="98">
        <v>469059</v>
      </c>
      <c r="AZ6" s="98">
        <v>470859</v>
      </c>
      <c r="BA6" s="98">
        <v>475755</v>
      </c>
      <c r="BB6" s="98">
        <v>477424</v>
      </c>
      <c r="BC6" s="98">
        <v>479423.75155130995</v>
      </c>
      <c r="BD6" s="98">
        <v>489193.83056000003</v>
      </c>
      <c r="BE6" s="98">
        <v>491418.47514</v>
      </c>
      <c r="BF6" s="98">
        <v>489483.29681299999</v>
      </c>
      <c r="BG6" s="98">
        <v>491289</v>
      </c>
      <c r="BH6" s="98">
        <v>500039</v>
      </c>
      <c r="BI6" s="98">
        <v>505975</v>
      </c>
      <c r="BJ6" s="98">
        <v>510765</v>
      </c>
      <c r="BK6" s="98">
        <v>524082</v>
      </c>
      <c r="BL6" s="98">
        <v>532524</v>
      </c>
      <c r="BM6" s="98">
        <v>543240</v>
      </c>
      <c r="BN6" s="98">
        <v>553224</v>
      </c>
      <c r="BO6" s="98">
        <v>570344</v>
      </c>
      <c r="BP6" s="98">
        <v>577453</v>
      </c>
      <c r="BQ6" s="98">
        <v>590288</v>
      </c>
      <c r="BR6" s="98">
        <v>606787</v>
      </c>
      <c r="BS6" s="98">
        <v>654195</v>
      </c>
      <c r="BT6" s="98">
        <v>638694</v>
      </c>
      <c r="BU6" s="98">
        <v>671065.10247100005</v>
      </c>
      <c r="BV6" s="98">
        <v>698311.23021000007</v>
      </c>
      <c r="BW6" s="98">
        <v>720111.48785899999</v>
      </c>
      <c r="BX6" s="98">
        <v>694065.04635700001</v>
      </c>
      <c r="BY6" s="98">
        <v>719005.56721799995</v>
      </c>
      <c r="BZ6" s="98">
        <v>734529.69070200005</v>
      </c>
      <c r="CA6" s="98">
        <v>733650.38437400002</v>
      </c>
      <c r="CB6" s="98">
        <v>729206.37962400005</v>
      </c>
      <c r="CC6" s="98">
        <v>769621.46290400007</v>
      </c>
      <c r="CD6" s="98">
        <v>764486.05934200017</v>
      </c>
      <c r="CE6" s="98">
        <v>768045.38614500011</v>
      </c>
      <c r="CF6" s="98">
        <v>757324.061093</v>
      </c>
      <c r="CG6" s="98">
        <v>773904.20023800014</v>
      </c>
      <c r="CH6" s="98">
        <v>801348.36283700005</v>
      </c>
      <c r="CI6" s="98">
        <v>816792.14876499982</v>
      </c>
      <c r="CJ6" s="98">
        <v>836948.65215700003</v>
      </c>
      <c r="CK6" s="98">
        <v>854246.85494500003</v>
      </c>
      <c r="CL6" s="98">
        <v>883039.09520899982</v>
      </c>
      <c r="CM6" s="98">
        <v>911689.04069400032</v>
      </c>
      <c r="CN6" s="98">
        <v>913847</v>
      </c>
      <c r="CO6" s="98">
        <v>918059</v>
      </c>
      <c r="CP6" s="98">
        <v>966968</v>
      </c>
      <c r="CQ6" s="98">
        <v>985321.3</v>
      </c>
      <c r="CR6" s="98">
        <v>1010591.6</v>
      </c>
      <c r="CS6" s="98">
        <v>1026604.6</v>
      </c>
      <c r="CT6" s="99">
        <v>1046281.3</v>
      </c>
      <c r="CU6" s="99">
        <v>1071954</v>
      </c>
      <c r="CV6" s="99">
        <v>1090957.8999999999</v>
      </c>
      <c r="CW6" s="99">
        <v>1102584.7</v>
      </c>
      <c r="CX6" s="99">
        <v>1130346.2</v>
      </c>
      <c r="CY6" s="99">
        <v>1161972</v>
      </c>
      <c r="CZ6" s="99">
        <v>1178911</v>
      </c>
      <c r="DA6" s="99">
        <v>1206102</v>
      </c>
    </row>
    <row r="7" spans="2:105" ht="16.5" customHeight="1">
      <c r="B7" s="97" t="s">
        <v>114</v>
      </c>
      <c r="C7" s="98">
        <v>402728</v>
      </c>
      <c r="D7" s="98">
        <v>422573</v>
      </c>
      <c r="E7" s="98">
        <v>433839</v>
      </c>
      <c r="F7" s="98">
        <v>430461</v>
      </c>
      <c r="G7" s="98">
        <v>428572</v>
      </c>
      <c r="H7" s="98">
        <v>479700</v>
      </c>
      <c r="I7" s="98">
        <v>443185</v>
      </c>
      <c r="J7" s="98">
        <v>469231</v>
      </c>
      <c r="K7" s="98">
        <v>444771</v>
      </c>
      <c r="L7" s="98">
        <v>458457</v>
      </c>
      <c r="M7" s="98">
        <v>468210</v>
      </c>
      <c r="N7" s="98">
        <v>479537</v>
      </c>
      <c r="O7" s="98">
        <v>481556</v>
      </c>
      <c r="P7" s="98">
        <v>519542</v>
      </c>
      <c r="Q7" s="98">
        <v>539016</v>
      </c>
      <c r="R7" s="98">
        <v>537617</v>
      </c>
      <c r="S7" s="98">
        <v>537486</v>
      </c>
      <c r="T7" s="98">
        <v>606709</v>
      </c>
      <c r="U7" s="98">
        <v>608369</v>
      </c>
      <c r="V7" s="98">
        <v>632874</v>
      </c>
      <c r="W7" s="98">
        <v>591606</v>
      </c>
      <c r="X7" s="98">
        <v>624663</v>
      </c>
      <c r="Y7" s="98">
        <v>643110</v>
      </c>
      <c r="Z7" s="98">
        <v>661329</v>
      </c>
      <c r="AA7" s="98">
        <v>645947</v>
      </c>
      <c r="AB7" s="98">
        <v>661185</v>
      </c>
      <c r="AC7" s="98">
        <v>661219</v>
      </c>
      <c r="AD7" s="98">
        <v>648585</v>
      </c>
      <c r="AE7" s="98">
        <v>647529</v>
      </c>
      <c r="AF7" s="98">
        <v>647529</v>
      </c>
      <c r="AG7" s="98">
        <v>685495</v>
      </c>
      <c r="AH7" s="98">
        <v>685495</v>
      </c>
      <c r="AI7" s="98">
        <v>705842</v>
      </c>
      <c r="AJ7" s="98">
        <v>705842</v>
      </c>
      <c r="AK7" s="98">
        <v>677228</v>
      </c>
      <c r="AL7" s="98">
        <v>678513.88399999996</v>
      </c>
      <c r="AM7" s="98">
        <v>670285</v>
      </c>
      <c r="AN7" s="98">
        <v>670724.61199999996</v>
      </c>
      <c r="AO7" s="98">
        <v>701519</v>
      </c>
      <c r="AP7" s="98">
        <v>702580.123855685</v>
      </c>
      <c r="AQ7" s="98">
        <v>689818</v>
      </c>
      <c r="AR7" s="98">
        <v>691581.63897419651</v>
      </c>
      <c r="AS7" s="98">
        <v>700986.84199999995</v>
      </c>
      <c r="AT7" s="98">
        <v>700986.84197099495</v>
      </c>
      <c r="AU7" s="98">
        <v>672280</v>
      </c>
      <c r="AV7" s="98">
        <v>672280.12516038399</v>
      </c>
      <c r="AW7" s="98">
        <v>691245.72888304654</v>
      </c>
      <c r="AX7" s="98">
        <v>693162.86686427589</v>
      </c>
      <c r="AY7" s="98">
        <v>696354.87738575146</v>
      </c>
      <c r="AZ7" s="98">
        <v>704532.20733001537</v>
      </c>
      <c r="BA7" s="98">
        <v>700675.38300000003</v>
      </c>
      <c r="BB7" s="98">
        <v>691551.15239854145</v>
      </c>
      <c r="BC7" s="98">
        <v>686826.64865300001</v>
      </c>
      <c r="BD7" s="98">
        <v>726594</v>
      </c>
      <c r="BE7" s="98">
        <v>678537.62705000001</v>
      </c>
      <c r="BF7" s="98">
        <v>673557.85900000005</v>
      </c>
      <c r="BG7" s="98">
        <v>669013</v>
      </c>
      <c r="BH7" s="98">
        <v>680439</v>
      </c>
      <c r="BI7" s="98">
        <v>686320</v>
      </c>
      <c r="BJ7" s="98">
        <v>690455</v>
      </c>
      <c r="BK7" s="98">
        <v>706124</v>
      </c>
      <c r="BL7" s="98">
        <v>713836</v>
      </c>
      <c r="BM7" s="98">
        <v>726618</v>
      </c>
      <c r="BN7" s="98">
        <v>763077</v>
      </c>
      <c r="BO7" s="98">
        <v>772283</v>
      </c>
      <c r="BP7" s="98">
        <v>788873</v>
      </c>
      <c r="BQ7" s="98">
        <v>826175</v>
      </c>
      <c r="BR7" s="98">
        <v>835769</v>
      </c>
      <c r="BS7" s="98">
        <v>879129</v>
      </c>
      <c r="BT7" s="98">
        <v>883237</v>
      </c>
      <c r="BU7" s="98">
        <v>909409.12193900009</v>
      </c>
      <c r="BV7" s="98">
        <v>919718.33077500015</v>
      </c>
      <c r="BW7" s="98">
        <v>939712</v>
      </c>
      <c r="BX7" s="98">
        <v>954441</v>
      </c>
      <c r="BY7" s="98">
        <v>992035</v>
      </c>
      <c r="BZ7" s="98">
        <v>1047223</v>
      </c>
      <c r="CA7" s="98">
        <v>1079136</v>
      </c>
      <c r="CB7" s="98">
        <v>1000001</v>
      </c>
      <c r="CC7" s="99">
        <v>1192726</v>
      </c>
      <c r="CD7" s="99">
        <v>1145285</v>
      </c>
      <c r="CE7" s="99">
        <v>1148944</v>
      </c>
      <c r="CF7" s="99">
        <v>1100450</v>
      </c>
      <c r="CG7" s="99">
        <v>1261962</v>
      </c>
      <c r="CH7" s="99">
        <v>1223726</v>
      </c>
      <c r="CI7" s="99">
        <v>1256112</v>
      </c>
      <c r="CJ7" s="99">
        <v>1184543</v>
      </c>
      <c r="CK7" s="99">
        <v>1345576</v>
      </c>
      <c r="CL7" s="99">
        <v>1371667</v>
      </c>
      <c r="CM7" s="99">
        <v>1390926</v>
      </c>
      <c r="CN7" s="99">
        <v>1256795</v>
      </c>
      <c r="CO7" s="99">
        <v>1397929</v>
      </c>
      <c r="CP7" s="99">
        <v>1455883</v>
      </c>
      <c r="CQ7" s="99">
        <v>1414753.1</v>
      </c>
      <c r="CR7" s="99">
        <v>1366037.9</v>
      </c>
      <c r="CS7" s="99">
        <v>1459884.2</v>
      </c>
      <c r="CT7" s="99">
        <v>1495964.3</v>
      </c>
      <c r="CU7" s="99">
        <v>1496381.9</v>
      </c>
      <c r="CV7" s="99">
        <v>1483173.8</v>
      </c>
      <c r="CW7" s="99">
        <v>1542000.1</v>
      </c>
      <c r="CX7" s="99">
        <v>1627279.8</v>
      </c>
      <c r="CY7" s="99">
        <v>1584679.2</v>
      </c>
      <c r="CZ7" s="99">
        <v>1529840.7</v>
      </c>
      <c r="DA7" s="99">
        <v>1654879.7</v>
      </c>
    </row>
    <row r="8" spans="2:105" ht="16.5" customHeight="1">
      <c r="B8" s="97" t="s">
        <v>5</v>
      </c>
      <c r="C8" s="100">
        <v>29831</v>
      </c>
      <c r="D8" s="100">
        <v>31648</v>
      </c>
      <c r="E8" s="100">
        <v>30177</v>
      </c>
      <c r="F8" s="100">
        <v>32431</v>
      </c>
      <c r="G8" s="100">
        <v>34408</v>
      </c>
      <c r="H8" s="100">
        <v>37222</v>
      </c>
      <c r="I8" s="100">
        <v>34021</v>
      </c>
      <c r="J8" s="100">
        <v>39271</v>
      </c>
      <c r="K8" s="100">
        <v>39299</v>
      </c>
      <c r="L8" s="100">
        <v>41640</v>
      </c>
      <c r="M8" s="100">
        <v>39360</v>
      </c>
      <c r="N8" s="100">
        <v>41548</v>
      </c>
      <c r="O8" s="100">
        <v>43322</v>
      </c>
      <c r="P8" s="100">
        <v>45646</v>
      </c>
      <c r="Q8" s="100">
        <v>43181</v>
      </c>
      <c r="R8" s="100">
        <v>45626</v>
      </c>
      <c r="S8" s="100">
        <v>48594</v>
      </c>
      <c r="T8" s="100">
        <v>51235</v>
      </c>
      <c r="U8" s="100">
        <v>49070</v>
      </c>
      <c r="V8" s="100">
        <v>51866</v>
      </c>
      <c r="W8" s="100">
        <v>55577</v>
      </c>
      <c r="X8" s="100">
        <v>58347</v>
      </c>
      <c r="Y8" s="100">
        <v>57553</v>
      </c>
      <c r="Z8" s="100">
        <v>65693</v>
      </c>
      <c r="AA8" s="100">
        <v>64805</v>
      </c>
      <c r="AB8" s="100">
        <v>66943</v>
      </c>
      <c r="AC8" s="100">
        <v>55832</v>
      </c>
      <c r="AD8" s="100">
        <v>60086</v>
      </c>
      <c r="AE8" s="100">
        <v>63168</v>
      </c>
      <c r="AF8" s="100">
        <v>63209</v>
      </c>
      <c r="AG8" s="100">
        <v>66326</v>
      </c>
      <c r="AH8" s="100">
        <v>66391</v>
      </c>
      <c r="AI8" s="100">
        <v>64474</v>
      </c>
      <c r="AJ8" s="100">
        <v>64467</v>
      </c>
      <c r="AK8" s="100">
        <v>67029</v>
      </c>
      <c r="AL8" s="100">
        <v>66698.054000000004</v>
      </c>
      <c r="AM8" s="100">
        <v>70780</v>
      </c>
      <c r="AN8" s="100">
        <v>70780.396999999997</v>
      </c>
      <c r="AO8" s="100">
        <v>74486</v>
      </c>
      <c r="AP8" s="100">
        <v>74754.265628011635</v>
      </c>
      <c r="AQ8" s="100">
        <v>73479</v>
      </c>
      <c r="AR8" s="100">
        <v>73598.03878323824</v>
      </c>
      <c r="AS8" s="100">
        <v>76218.536999999997</v>
      </c>
      <c r="AT8" s="100">
        <v>76218.534203735748</v>
      </c>
      <c r="AU8" s="100">
        <v>79810</v>
      </c>
      <c r="AV8" s="100">
        <v>79835.831444756957</v>
      </c>
      <c r="AW8" s="100">
        <v>84887.703171177389</v>
      </c>
      <c r="AX8" s="100">
        <v>84087.963464277505</v>
      </c>
      <c r="AY8" s="100">
        <v>88351.174090231187</v>
      </c>
      <c r="AZ8" s="100">
        <v>93190.109075355154</v>
      </c>
      <c r="BA8" s="100">
        <v>97248.798999999999</v>
      </c>
      <c r="BB8" s="100">
        <v>93206.766178562699</v>
      </c>
      <c r="BC8" s="100">
        <v>96766</v>
      </c>
      <c r="BD8" s="100">
        <v>100660</v>
      </c>
      <c r="BE8" s="100">
        <v>104601</v>
      </c>
      <c r="BF8" s="100">
        <v>99849</v>
      </c>
      <c r="BG8" s="100">
        <v>103625</v>
      </c>
      <c r="BH8" s="100">
        <v>107809</v>
      </c>
      <c r="BI8" s="100">
        <v>111912</v>
      </c>
      <c r="BJ8" s="100">
        <v>103118</v>
      </c>
      <c r="BK8" s="100">
        <v>107666</v>
      </c>
      <c r="BL8" s="100">
        <v>119986</v>
      </c>
      <c r="BM8" s="100">
        <v>123322</v>
      </c>
      <c r="BN8" s="100">
        <v>114044</v>
      </c>
      <c r="BO8" s="100">
        <v>118240</v>
      </c>
      <c r="BP8" s="100">
        <v>121564</v>
      </c>
      <c r="BQ8" s="100">
        <v>124378</v>
      </c>
      <c r="BR8" s="100">
        <v>115841</v>
      </c>
      <c r="BS8" s="100">
        <v>118776</v>
      </c>
      <c r="BT8" s="100">
        <v>120810</v>
      </c>
      <c r="BU8" s="100">
        <v>123593.98908700001</v>
      </c>
      <c r="BV8" s="100">
        <v>114409.396127</v>
      </c>
      <c r="BW8" s="100">
        <v>116994.485378</v>
      </c>
      <c r="BX8" s="100">
        <v>122472.50328400001</v>
      </c>
      <c r="BY8" s="100">
        <v>126539.508667</v>
      </c>
      <c r="BZ8" s="100">
        <v>129370.851339</v>
      </c>
      <c r="CA8" s="100">
        <v>133777.97920500001</v>
      </c>
      <c r="CB8" s="98">
        <v>137128.58943299999</v>
      </c>
      <c r="CC8" s="100">
        <v>144219.05777700001</v>
      </c>
      <c r="CD8" s="100">
        <v>145922.52637200002</v>
      </c>
      <c r="CE8" s="100">
        <v>148834.94431700002</v>
      </c>
      <c r="CF8" s="100">
        <v>149124.83085699999</v>
      </c>
      <c r="CG8" s="100">
        <v>150063.96248300001</v>
      </c>
      <c r="CH8" s="100">
        <v>153073.70291000002</v>
      </c>
      <c r="CI8" s="100">
        <v>150021.36980100002</v>
      </c>
      <c r="CJ8" s="100">
        <v>142744.07624000002</v>
      </c>
      <c r="CK8" s="100">
        <v>146728.13889</v>
      </c>
      <c r="CL8" s="100">
        <v>125616.196186</v>
      </c>
      <c r="CM8" s="100">
        <v>131235.42428100001</v>
      </c>
      <c r="CN8" s="100">
        <v>137232</v>
      </c>
      <c r="CO8" s="100">
        <v>141859</v>
      </c>
      <c r="CP8" s="100">
        <v>132053</v>
      </c>
      <c r="CQ8" s="100">
        <v>138213</v>
      </c>
      <c r="CR8" s="100">
        <v>143955</v>
      </c>
      <c r="CS8" s="100">
        <v>150102</v>
      </c>
      <c r="CT8" s="100">
        <v>141095</v>
      </c>
      <c r="CU8" s="100">
        <v>148682</v>
      </c>
      <c r="CV8" s="100">
        <v>154144</v>
      </c>
      <c r="CW8" s="100">
        <v>160492</v>
      </c>
      <c r="CX8" s="100">
        <v>134596</v>
      </c>
      <c r="CY8" s="100">
        <v>140174</v>
      </c>
      <c r="CZ8" s="100">
        <v>149336</v>
      </c>
      <c r="DA8" s="100">
        <v>154713</v>
      </c>
    </row>
    <row r="9" spans="2:105" ht="16.5" customHeight="1">
      <c r="B9" s="97" t="s">
        <v>6</v>
      </c>
      <c r="C9" s="98">
        <v>5805</v>
      </c>
      <c r="D9" s="98">
        <v>1815</v>
      </c>
      <c r="E9" s="98">
        <v>3385</v>
      </c>
      <c r="F9" s="98">
        <v>5639</v>
      </c>
      <c r="G9" s="98">
        <v>7615</v>
      </c>
      <c r="H9" s="98">
        <v>2634</v>
      </c>
      <c r="I9" s="98">
        <v>4492</v>
      </c>
      <c r="J9" s="98">
        <v>6241</v>
      </c>
      <c r="K9" s="98">
        <v>8137</v>
      </c>
      <c r="L9" s="98">
        <v>2308</v>
      </c>
      <c r="M9" s="98">
        <v>4837</v>
      </c>
      <c r="N9" s="98">
        <v>7208</v>
      </c>
      <c r="O9" s="98">
        <v>9134</v>
      </c>
      <c r="P9" s="98">
        <v>2504</v>
      </c>
      <c r="Q9" s="98">
        <v>4874</v>
      </c>
      <c r="R9" s="98">
        <v>7348</v>
      </c>
      <c r="S9" s="98">
        <v>10385</v>
      </c>
      <c r="T9" s="98">
        <v>2721</v>
      </c>
      <c r="U9" s="98">
        <v>5228</v>
      </c>
      <c r="V9" s="98">
        <v>8119</v>
      </c>
      <c r="W9" s="98">
        <v>12148</v>
      </c>
      <c r="X9" s="98">
        <v>3225</v>
      </c>
      <c r="Y9" s="98">
        <v>6596</v>
      </c>
      <c r="Z9" s="98">
        <v>14080</v>
      </c>
      <c r="AA9" s="98">
        <v>15813</v>
      </c>
      <c r="AB9" s="98">
        <v>3004</v>
      </c>
      <c r="AC9" s="98">
        <v>6307</v>
      </c>
      <c r="AD9" s="98">
        <v>9647</v>
      </c>
      <c r="AE9" s="98">
        <v>12022</v>
      </c>
      <c r="AF9" s="98">
        <v>12624</v>
      </c>
      <c r="AG9" s="98">
        <v>3128</v>
      </c>
      <c r="AH9" s="98">
        <v>3151</v>
      </c>
      <c r="AI9" s="98">
        <v>5880</v>
      </c>
      <c r="AJ9" s="98">
        <v>5831</v>
      </c>
      <c r="AK9" s="98">
        <v>8542</v>
      </c>
      <c r="AL9" s="98">
        <v>8281.2929999999997</v>
      </c>
      <c r="AM9" s="98">
        <v>12052</v>
      </c>
      <c r="AN9" s="98">
        <v>12052.433000000001</v>
      </c>
      <c r="AO9" s="98">
        <v>3803</v>
      </c>
      <c r="AP9" s="98">
        <v>3803.3752487092606</v>
      </c>
      <c r="AQ9" s="98">
        <v>7212</v>
      </c>
      <c r="AR9" s="98">
        <v>7212</v>
      </c>
      <c r="AS9" s="98">
        <v>9554.7019999999993</v>
      </c>
      <c r="AT9" s="98">
        <v>9554.7016837820847</v>
      </c>
      <c r="AU9" s="98">
        <v>13638</v>
      </c>
      <c r="AV9" s="98">
        <v>13637.852818588888</v>
      </c>
      <c r="AW9" s="98">
        <v>4456.0059520570412</v>
      </c>
      <c r="AX9" s="98">
        <v>8220.7806686860022</v>
      </c>
      <c r="AY9" s="98">
        <v>11786.591052149734</v>
      </c>
      <c r="AZ9" s="98">
        <v>16612.406726269681</v>
      </c>
      <c r="BA9" s="98">
        <v>4203.7282287467979</v>
      </c>
      <c r="BB9" s="98">
        <v>8152.5734955998014</v>
      </c>
      <c r="BC9" s="98">
        <v>11475</v>
      </c>
      <c r="BD9" s="98">
        <v>15588</v>
      </c>
      <c r="BE9" s="98">
        <v>3999.9143420000009</v>
      </c>
      <c r="BF9" s="98">
        <v>7781.9579950000007</v>
      </c>
      <c r="BG9" s="98">
        <v>11225</v>
      </c>
      <c r="BH9" s="98">
        <v>15071</v>
      </c>
      <c r="BI9" s="98">
        <v>3666</v>
      </c>
      <c r="BJ9" s="98">
        <v>7321</v>
      </c>
      <c r="BK9" s="98">
        <v>11135</v>
      </c>
      <c r="BL9" s="98">
        <v>14293</v>
      </c>
      <c r="BM9" s="98">
        <v>3375</v>
      </c>
      <c r="BN9" s="98">
        <v>8238</v>
      </c>
      <c r="BO9" s="98">
        <v>11924</v>
      </c>
      <c r="BP9" s="98">
        <v>15457</v>
      </c>
      <c r="BQ9" s="98">
        <v>3528</v>
      </c>
      <c r="BR9" s="98">
        <v>7673</v>
      </c>
      <c r="BS9" s="98">
        <v>11704</v>
      </c>
      <c r="BT9" s="98">
        <v>14610</v>
      </c>
      <c r="BU9" s="98">
        <v>4070.3935490000031</v>
      </c>
      <c r="BV9" s="98">
        <v>7869.8421159999998</v>
      </c>
      <c r="BW9" s="98">
        <v>11846.225897</v>
      </c>
      <c r="BX9" s="98">
        <v>15362.068063999999</v>
      </c>
      <c r="BY9" s="98">
        <v>3941.7398410000001</v>
      </c>
      <c r="BZ9" s="98">
        <v>8699.6774669999995</v>
      </c>
      <c r="CA9" s="98">
        <v>12971.489785</v>
      </c>
      <c r="CB9" s="98">
        <v>17742.689495999999</v>
      </c>
      <c r="CC9" s="98">
        <v>3162.2900989999998</v>
      </c>
      <c r="CD9" s="98">
        <v>4605.2439969999996</v>
      </c>
      <c r="CE9" s="98">
        <v>7922.7685930000007</v>
      </c>
      <c r="CF9" s="98">
        <v>10006.118246</v>
      </c>
      <c r="CG9" s="98">
        <v>2692.6301570000001</v>
      </c>
      <c r="CH9" s="98">
        <v>6602.4141220000047</v>
      </c>
      <c r="CI9" s="98">
        <v>10798.655697000004</v>
      </c>
      <c r="CJ9" s="98">
        <v>14180.794535000012</v>
      </c>
      <c r="CK9" s="98">
        <v>4963.6831599999987</v>
      </c>
      <c r="CL9" s="98">
        <v>11026.187985000002</v>
      </c>
      <c r="CM9" s="98">
        <v>15031.095137000002</v>
      </c>
      <c r="CN9" s="98">
        <v>20161</v>
      </c>
      <c r="CO9" s="98">
        <v>3300</v>
      </c>
      <c r="CP9" s="98">
        <v>9265</v>
      </c>
      <c r="CQ9" s="98">
        <v>14601</v>
      </c>
      <c r="CR9" s="98">
        <v>18614</v>
      </c>
      <c r="CS9" s="98">
        <v>5720</v>
      </c>
      <c r="CT9" s="98">
        <v>12410</v>
      </c>
      <c r="CU9" s="98">
        <v>19399</v>
      </c>
      <c r="CV9" s="98">
        <v>26162</v>
      </c>
      <c r="CW9" s="98">
        <v>5737</v>
      </c>
      <c r="CX9" s="98">
        <v>12809</v>
      </c>
      <c r="CY9" s="98">
        <v>19012</v>
      </c>
      <c r="CZ9" s="98">
        <v>27762</v>
      </c>
      <c r="DA9" s="98">
        <v>7086</v>
      </c>
    </row>
    <row r="10" spans="2:105" ht="21" customHeight="1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</row>
    <row r="11" spans="2:105" ht="16.5" customHeight="1">
      <c r="B11" s="97" t="s">
        <v>21</v>
      </c>
      <c r="C11" s="98">
        <v>12999</v>
      </c>
      <c r="D11" s="98">
        <v>12920</v>
      </c>
      <c r="E11" s="98">
        <v>12780</v>
      </c>
      <c r="F11" s="98">
        <v>12742</v>
      </c>
      <c r="G11" s="98">
        <v>12412</v>
      </c>
      <c r="H11" s="98">
        <v>11762</v>
      </c>
      <c r="I11" s="98">
        <v>11606</v>
      </c>
      <c r="J11" s="98">
        <v>11699</v>
      </c>
      <c r="K11" s="98">
        <v>11639</v>
      </c>
      <c r="L11" s="98">
        <v>11590</v>
      </c>
      <c r="M11" s="98">
        <v>11507</v>
      </c>
      <c r="N11" s="98">
        <v>11089</v>
      </c>
      <c r="O11" s="98">
        <v>10755</v>
      </c>
      <c r="P11" s="98">
        <v>10801</v>
      </c>
      <c r="Q11" s="98">
        <v>10706</v>
      </c>
      <c r="R11" s="98">
        <v>10720</v>
      </c>
      <c r="S11" s="98">
        <v>10856</v>
      </c>
      <c r="T11" s="98">
        <v>10966</v>
      </c>
      <c r="U11" s="98">
        <v>10733</v>
      </c>
      <c r="V11" s="98">
        <v>10820</v>
      </c>
      <c r="W11" s="98">
        <v>10842</v>
      </c>
      <c r="X11" s="98">
        <v>10905</v>
      </c>
      <c r="Y11" s="98">
        <v>10971</v>
      </c>
      <c r="Z11" s="98">
        <v>10880</v>
      </c>
      <c r="AA11" s="98">
        <v>10865</v>
      </c>
      <c r="AB11" s="98">
        <v>10872</v>
      </c>
      <c r="AC11" s="98">
        <v>10813</v>
      </c>
      <c r="AD11" s="98">
        <v>10841</v>
      </c>
      <c r="AE11" s="98">
        <v>10722</v>
      </c>
      <c r="AF11" s="98">
        <v>10722</v>
      </c>
      <c r="AG11" s="98">
        <v>10741</v>
      </c>
      <c r="AH11" s="98">
        <v>10741</v>
      </c>
      <c r="AI11" s="98">
        <v>10776</v>
      </c>
      <c r="AJ11" s="98">
        <v>10776</v>
      </c>
      <c r="AK11" s="98">
        <v>10759</v>
      </c>
      <c r="AL11" s="98">
        <v>10759</v>
      </c>
      <c r="AM11" s="98">
        <v>10711</v>
      </c>
      <c r="AN11" s="98">
        <v>10711</v>
      </c>
      <c r="AO11" s="98">
        <v>10263</v>
      </c>
      <c r="AP11" s="98">
        <v>10263</v>
      </c>
      <c r="AQ11" s="98">
        <v>10343</v>
      </c>
      <c r="AR11" s="98">
        <v>10343</v>
      </c>
      <c r="AS11" s="98">
        <v>10296</v>
      </c>
      <c r="AT11" s="98">
        <v>10296</v>
      </c>
      <c r="AU11" s="98">
        <v>10661</v>
      </c>
      <c r="AV11" s="98">
        <v>10661</v>
      </c>
      <c r="AW11" s="98">
        <v>10673.47</v>
      </c>
      <c r="AX11" s="98">
        <v>10630</v>
      </c>
      <c r="AY11" s="98">
        <v>10857</v>
      </c>
      <c r="AZ11" s="98">
        <v>11014</v>
      </c>
      <c r="BA11" s="98">
        <v>11051</v>
      </c>
      <c r="BB11" s="98">
        <v>10621</v>
      </c>
      <c r="BC11" s="98">
        <v>10409</v>
      </c>
      <c r="BD11" s="98">
        <v>10454</v>
      </c>
      <c r="BE11" s="98">
        <v>10425</v>
      </c>
      <c r="BF11" s="98">
        <v>10474</v>
      </c>
      <c r="BG11" s="98">
        <v>10443</v>
      </c>
      <c r="BH11" s="98">
        <v>10504</v>
      </c>
      <c r="BI11" s="98">
        <v>10545</v>
      </c>
      <c r="BJ11" s="98">
        <v>10545</v>
      </c>
      <c r="BK11" s="98">
        <v>10522</v>
      </c>
      <c r="BL11" s="98">
        <v>10501</v>
      </c>
      <c r="BM11" s="98">
        <v>10487</v>
      </c>
      <c r="BN11" s="98">
        <v>10329</v>
      </c>
      <c r="BO11" s="98">
        <v>10294.5</v>
      </c>
      <c r="BP11" s="98">
        <v>10299</v>
      </c>
      <c r="BQ11" s="98">
        <v>10213.460000000001</v>
      </c>
      <c r="BR11" s="98">
        <v>10197</v>
      </c>
      <c r="BS11" s="98">
        <v>10185</v>
      </c>
      <c r="BT11" s="98">
        <v>10171</v>
      </c>
      <c r="BU11" s="98">
        <v>10135</v>
      </c>
      <c r="BV11" s="98">
        <v>10086</v>
      </c>
      <c r="BW11" s="98">
        <v>10062</v>
      </c>
      <c r="BX11" s="98">
        <v>10115</v>
      </c>
      <c r="BY11" s="98">
        <v>9953</v>
      </c>
      <c r="BZ11" s="98">
        <v>9821</v>
      </c>
      <c r="CA11" s="98">
        <v>9723</v>
      </c>
      <c r="CB11" s="98">
        <v>9678</v>
      </c>
      <c r="CC11" s="98">
        <v>9860</v>
      </c>
      <c r="CD11" s="98">
        <v>9946</v>
      </c>
      <c r="CE11" s="98">
        <v>9914</v>
      </c>
      <c r="CF11" s="98">
        <v>9820</v>
      </c>
      <c r="CG11" s="98">
        <v>9803</v>
      </c>
      <c r="CH11" s="98">
        <v>9701</v>
      </c>
      <c r="CI11" s="98">
        <v>9673</v>
      </c>
      <c r="CJ11" s="98">
        <v>9711</v>
      </c>
      <c r="CK11" s="98">
        <v>9746</v>
      </c>
      <c r="CL11" s="98">
        <v>9818</v>
      </c>
      <c r="CM11" s="98">
        <v>9893</v>
      </c>
      <c r="CN11" s="98">
        <v>10010</v>
      </c>
      <c r="CO11" s="98">
        <v>10032</v>
      </c>
      <c r="CP11" s="98">
        <v>9992</v>
      </c>
      <c r="CQ11" s="98">
        <v>9925</v>
      </c>
      <c r="CR11" s="98">
        <v>9829</v>
      </c>
      <c r="CS11" s="98">
        <v>9627</v>
      </c>
      <c r="CT11" s="98">
        <v>9574</v>
      </c>
      <c r="CU11" s="98">
        <v>9583</v>
      </c>
      <c r="CV11" s="98">
        <v>9674</v>
      </c>
      <c r="CW11" s="98">
        <v>9639.23</v>
      </c>
      <c r="CX11" s="98">
        <v>9629</v>
      </c>
      <c r="CY11" s="98">
        <v>9607</v>
      </c>
      <c r="CZ11" s="98">
        <v>9483</v>
      </c>
      <c r="DA11" s="98">
        <v>9299</v>
      </c>
    </row>
    <row r="12" spans="2:105" ht="16.5" customHeight="1">
      <c r="B12" s="97" t="s">
        <v>130</v>
      </c>
      <c r="C12" s="98">
        <v>673</v>
      </c>
      <c r="D12" s="98">
        <v>672</v>
      </c>
      <c r="E12" s="98">
        <v>668</v>
      </c>
      <c r="F12" s="98">
        <v>665</v>
      </c>
      <c r="G12" s="98">
        <v>667</v>
      </c>
      <c r="H12" s="98">
        <v>664</v>
      </c>
      <c r="I12" s="98">
        <v>664</v>
      </c>
      <c r="J12" s="98">
        <v>647</v>
      </c>
      <c r="K12" s="98">
        <v>647</v>
      </c>
      <c r="L12" s="98">
        <v>647</v>
      </c>
      <c r="M12" s="98">
        <v>647</v>
      </c>
      <c r="N12" s="98">
        <v>646</v>
      </c>
      <c r="O12" s="98">
        <v>646</v>
      </c>
      <c r="P12" s="98">
        <v>637</v>
      </c>
      <c r="Q12" s="98">
        <v>637</v>
      </c>
      <c r="R12" s="98">
        <v>637</v>
      </c>
      <c r="S12" s="98">
        <v>637</v>
      </c>
      <c r="T12" s="98">
        <v>637</v>
      </c>
      <c r="U12" s="98">
        <v>636</v>
      </c>
      <c r="V12" s="98">
        <v>636</v>
      </c>
      <c r="W12" s="98">
        <v>636</v>
      </c>
      <c r="X12" s="98">
        <v>638</v>
      </c>
      <c r="Y12" s="98">
        <v>642</v>
      </c>
      <c r="Z12" s="98">
        <v>642</v>
      </c>
      <c r="AA12" s="98">
        <v>646</v>
      </c>
      <c r="AB12" s="98">
        <v>651</v>
      </c>
      <c r="AC12" s="98">
        <v>652</v>
      </c>
      <c r="AD12" s="98">
        <v>655</v>
      </c>
      <c r="AE12" s="98">
        <v>660</v>
      </c>
      <c r="AF12" s="98">
        <v>660</v>
      </c>
      <c r="AG12" s="98">
        <v>660</v>
      </c>
      <c r="AH12" s="98">
        <v>660</v>
      </c>
      <c r="AI12" s="98">
        <v>664</v>
      </c>
      <c r="AJ12" s="98">
        <v>664</v>
      </c>
      <c r="AK12" s="98">
        <v>664</v>
      </c>
      <c r="AL12" s="98">
        <v>664</v>
      </c>
      <c r="AM12" s="98">
        <v>667</v>
      </c>
      <c r="AN12" s="98">
        <v>667</v>
      </c>
      <c r="AO12" s="98">
        <v>670</v>
      </c>
      <c r="AP12" s="98">
        <v>670</v>
      </c>
      <c r="AQ12" s="98">
        <v>653</v>
      </c>
      <c r="AR12" s="98">
        <v>653</v>
      </c>
      <c r="AS12" s="98">
        <v>653</v>
      </c>
      <c r="AT12" s="98">
        <v>653</v>
      </c>
      <c r="AU12" s="98">
        <v>654</v>
      </c>
      <c r="AV12" s="98">
        <v>654</v>
      </c>
      <c r="AW12" s="98">
        <v>654</v>
      </c>
      <c r="AX12" s="98">
        <v>657</v>
      </c>
      <c r="AY12" s="98">
        <v>657</v>
      </c>
      <c r="AZ12" s="98">
        <v>658</v>
      </c>
      <c r="BA12" s="98">
        <v>659</v>
      </c>
      <c r="BB12" s="98">
        <v>653</v>
      </c>
      <c r="BC12" s="98">
        <v>651</v>
      </c>
      <c r="BD12" s="98">
        <v>653</v>
      </c>
      <c r="BE12" s="98">
        <v>643</v>
      </c>
      <c r="BF12" s="98">
        <v>644</v>
      </c>
      <c r="BG12" s="98">
        <v>645</v>
      </c>
      <c r="BH12" s="98">
        <v>644</v>
      </c>
      <c r="BI12" s="98">
        <v>634</v>
      </c>
      <c r="BJ12" s="98">
        <v>633</v>
      </c>
      <c r="BK12" s="98">
        <v>626</v>
      </c>
      <c r="BL12" s="98">
        <v>621</v>
      </c>
      <c r="BM12" s="98">
        <v>608</v>
      </c>
      <c r="BN12" s="98">
        <v>606</v>
      </c>
      <c r="BO12" s="98">
        <v>601</v>
      </c>
      <c r="BP12" s="98">
        <v>561</v>
      </c>
      <c r="BQ12" s="98">
        <v>546</v>
      </c>
      <c r="BR12" s="98">
        <v>532</v>
      </c>
      <c r="BS12" s="98">
        <v>522</v>
      </c>
      <c r="BT12" s="98">
        <v>517</v>
      </c>
      <c r="BU12" s="98">
        <v>510</v>
      </c>
      <c r="BV12" s="98">
        <v>504</v>
      </c>
      <c r="BW12" s="98">
        <v>501</v>
      </c>
      <c r="BX12" s="98">
        <v>480</v>
      </c>
      <c r="BY12" s="98">
        <v>473</v>
      </c>
      <c r="BZ12" s="98">
        <v>468</v>
      </c>
      <c r="CA12" s="98">
        <v>465</v>
      </c>
      <c r="CB12" s="98">
        <v>463</v>
      </c>
      <c r="CC12" s="98">
        <v>447</v>
      </c>
      <c r="CD12" s="98">
        <v>439</v>
      </c>
      <c r="CE12" s="98">
        <v>426</v>
      </c>
      <c r="CF12" s="98">
        <v>424</v>
      </c>
      <c r="CG12" s="98">
        <v>409</v>
      </c>
      <c r="CH12" s="98">
        <v>404</v>
      </c>
      <c r="CI12" s="98">
        <v>401</v>
      </c>
      <c r="CJ12" s="98">
        <v>400</v>
      </c>
      <c r="CK12" s="98">
        <v>399</v>
      </c>
      <c r="CL12" s="98">
        <v>398</v>
      </c>
      <c r="CM12" s="98">
        <v>398</v>
      </c>
      <c r="CN12" s="98">
        <v>398</v>
      </c>
      <c r="CO12" s="98">
        <v>396</v>
      </c>
      <c r="CP12" s="98">
        <v>389</v>
      </c>
      <c r="CQ12" s="98">
        <v>369</v>
      </c>
      <c r="CR12" s="98">
        <v>366</v>
      </c>
      <c r="CS12" s="98">
        <v>360</v>
      </c>
      <c r="CT12" s="98">
        <v>356</v>
      </c>
      <c r="CU12" s="98">
        <v>346</v>
      </c>
      <c r="CV12" s="98">
        <v>337</v>
      </c>
      <c r="CW12" s="98">
        <v>336</v>
      </c>
      <c r="CX12" s="98">
        <v>336</v>
      </c>
      <c r="CY12" s="98">
        <v>332</v>
      </c>
      <c r="CZ12" s="98">
        <v>329</v>
      </c>
      <c r="DA12" s="98">
        <v>324</v>
      </c>
    </row>
    <row r="13" spans="2:105" ht="16.5" customHeight="1">
      <c r="B13" s="97" t="s">
        <v>7</v>
      </c>
      <c r="C13" s="98">
        <v>1011</v>
      </c>
      <c r="D13" s="98">
        <v>1030</v>
      </c>
      <c r="E13" s="98">
        <v>1039</v>
      </c>
      <c r="F13" s="98">
        <v>1043</v>
      </c>
      <c r="G13" s="98">
        <v>1067</v>
      </c>
      <c r="H13" s="98">
        <v>1071</v>
      </c>
      <c r="I13" s="98">
        <v>1076</v>
      </c>
      <c r="J13" s="98">
        <v>1079</v>
      </c>
      <c r="K13" s="98">
        <v>1071</v>
      </c>
      <c r="L13" s="98">
        <v>1066</v>
      </c>
      <c r="M13" s="98">
        <v>1063</v>
      </c>
      <c r="N13" s="98">
        <v>1071</v>
      </c>
      <c r="O13" s="98">
        <v>1076</v>
      </c>
      <c r="P13" s="98">
        <v>1075</v>
      </c>
      <c r="Q13" s="98">
        <v>1079</v>
      </c>
      <c r="R13" s="98">
        <v>1081</v>
      </c>
      <c r="S13" s="98">
        <v>1090</v>
      </c>
      <c r="T13" s="98">
        <v>1087</v>
      </c>
      <c r="U13" s="98">
        <v>1097</v>
      </c>
      <c r="V13" s="98">
        <v>1107</v>
      </c>
      <c r="W13" s="98">
        <v>1124</v>
      </c>
      <c r="X13" s="98">
        <v>1127</v>
      </c>
      <c r="Y13" s="98">
        <v>1139</v>
      </c>
      <c r="Z13" s="98">
        <v>1141</v>
      </c>
      <c r="AA13" s="98">
        <v>1164</v>
      </c>
      <c r="AB13" s="98">
        <v>1176</v>
      </c>
      <c r="AC13" s="98">
        <v>1185</v>
      </c>
      <c r="AD13" s="98">
        <v>1195</v>
      </c>
      <c r="AE13" s="98">
        <v>1218</v>
      </c>
      <c r="AF13" s="98">
        <v>1218</v>
      </c>
      <c r="AG13" s="98">
        <v>1244</v>
      </c>
      <c r="AH13" s="98">
        <v>1244</v>
      </c>
      <c r="AI13" s="98">
        <v>1264</v>
      </c>
      <c r="AJ13" s="98">
        <v>1264</v>
      </c>
      <c r="AK13" s="98">
        <v>1276</v>
      </c>
      <c r="AL13" s="98">
        <v>1276</v>
      </c>
      <c r="AM13" s="98">
        <v>1312</v>
      </c>
      <c r="AN13" s="98">
        <v>1312</v>
      </c>
      <c r="AO13" s="98">
        <v>1317</v>
      </c>
      <c r="AP13" s="98">
        <v>1317</v>
      </c>
      <c r="AQ13" s="98">
        <v>1374</v>
      </c>
      <c r="AR13" s="98">
        <v>1374</v>
      </c>
      <c r="AS13" s="98">
        <v>1392</v>
      </c>
      <c r="AT13" s="98">
        <v>1392</v>
      </c>
      <c r="AU13" s="98">
        <v>1413</v>
      </c>
      <c r="AV13" s="98">
        <v>1413</v>
      </c>
      <c r="AW13" s="98">
        <v>1419</v>
      </c>
      <c r="AX13" s="98">
        <v>1435</v>
      </c>
      <c r="AY13" s="98">
        <v>1445</v>
      </c>
      <c r="AZ13" s="98">
        <v>1466</v>
      </c>
      <c r="BA13" s="98">
        <v>1481</v>
      </c>
      <c r="BB13" s="98">
        <v>1497</v>
      </c>
      <c r="BC13" s="98">
        <v>1509</v>
      </c>
      <c r="BD13" s="98">
        <v>1530</v>
      </c>
      <c r="BE13" s="98">
        <v>1543</v>
      </c>
      <c r="BF13" s="98">
        <v>1546</v>
      </c>
      <c r="BG13" s="98">
        <v>1556</v>
      </c>
      <c r="BH13" s="98">
        <v>1561</v>
      </c>
      <c r="BI13" s="98">
        <v>1568</v>
      </c>
      <c r="BJ13" s="98">
        <v>1565</v>
      </c>
      <c r="BK13" s="98">
        <v>1567</v>
      </c>
      <c r="BL13" s="98">
        <v>1589</v>
      </c>
      <c r="BM13" s="98">
        <v>1597</v>
      </c>
      <c r="BN13" s="98">
        <v>1595</v>
      </c>
      <c r="BO13" s="98">
        <v>1598</v>
      </c>
      <c r="BP13" s="98">
        <v>1642</v>
      </c>
      <c r="BQ13" s="98">
        <v>1642</v>
      </c>
      <c r="BR13" s="98">
        <v>1652</v>
      </c>
      <c r="BS13" s="98">
        <v>1655</v>
      </c>
      <c r="BT13" s="98">
        <v>1704</v>
      </c>
      <c r="BU13" s="98">
        <v>1698</v>
      </c>
      <c r="BV13" s="98">
        <v>1709</v>
      </c>
      <c r="BW13" s="98">
        <v>1728</v>
      </c>
      <c r="BX13" s="98">
        <v>1783</v>
      </c>
      <c r="BY13" s="98">
        <v>1794</v>
      </c>
      <c r="BZ13" s="98">
        <v>1778</v>
      </c>
      <c r="CA13" s="98">
        <v>1791</v>
      </c>
      <c r="CB13" s="98">
        <v>1832</v>
      </c>
      <c r="CC13" s="98">
        <v>1830</v>
      </c>
      <c r="CD13" s="98">
        <v>1836</v>
      </c>
      <c r="CE13" s="98">
        <v>1828</v>
      </c>
      <c r="CF13" s="98">
        <v>1825</v>
      </c>
      <c r="CG13" s="98">
        <v>1818</v>
      </c>
      <c r="CH13" s="98">
        <v>1797</v>
      </c>
      <c r="CI13" s="98">
        <v>1794</v>
      </c>
      <c r="CJ13" s="98">
        <v>1783</v>
      </c>
      <c r="CK13" s="98">
        <v>1780</v>
      </c>
      <c r="CL13" s="98">
        <v>1756</v>
      </c>
      <c r="CM13" s="98">
        <v>1716</v>
      </c>
      <c r="CN13" s="98">
        <v>1736</v>
      </c>
      <c r="CO13" s="98">
        <v>1738</v>
      </c>
      <c r="CP13" s="98">
        <v>1715</v>
      </c>
      <c r="CQ13" s="98">
        <v>1689</v>
      </c>
      <c r="CR13" s="98">
        <v>1680</v>
      </c>
      <c r="CS13" s="98">
        <v>1675</v>
      </c>
      <c r="CT13" s="98">
        <v>1659</v>
      </c>
      <c r="CU13" s="98">
        <v>1625</v>
      </c>
      <c r="CV13" s="98">
        <v>1611</v>
      </c>
      <c r="CW13" s="98">
        <v>1599</v>
      </c>
      <c r="CX13" s="98">
        <v>1581</v>
      </c>
      <c r="CY13" s="98">
        <v>1552</v>
      </c>
      <c r="CZ13" s="98">
        <v>1516</v>
      </c>
      <c r="DA13" s="98">
        <v>1516</v>
      </c>
    </row>
    <row r="14" spans="2:105" ht="16.5" customHeight="1">
      <c r="B14" s="97" t="s">
        <v>139</v>
      </c>
      <c r="C14" s="98">
        <v>2364</v>
      </c>
      <c r="D14" s="98">
        <v>2410</v>
      </c>
      <c r="E14" s="98">
        <v>2467</v>
      </c>
      <c r="F14" s="98">
        <v>2529</v>
      </c>
      <c r="G14" s="98">
        <v>2576.5520000000001</v>
      </c>
      <c r="H14" s="98">
        <v>2594.6419999999998</v>
      </c>
      <c r="I14" s="98">
        <v>2638.8449999999998</v>
      </c>
      <c r="J14" s="98">
        <v>2700.8470000000002</v>
      </c>
      <c r="K14" s="98">
        <v>2758</v>
      </c>
      <c r="L14" s="98">
        <v>2791</v>
      </c>
      <c r="M14" s="98">
        <v>2827</v>
      </c>
      <c r="N14" s="98">
        <v>2880</v>
      </c>
      <c r="O14" s="98">
        <v>2942</v>
      </c>
      <c r="P14" s="98">
        <v>2974</v>
      </c>
      <c r="Q14" s="98">
        <v>3008</v>
      </c>
      <c r="R14" s="98">
        <v>3052</v>
      </c>
      <c r="S14" s="98">
        <v>3096</v>
      </c>
      <c r="T14" s="98">
        <v>3136</v>
      </c>
      <c r="U14" s="98">
        <v>3206</v>
      </c>
      <c r="V14" s="98">
        <v>3297</v>
      </c>
      <c r="W14" s="98">
        <v>3340</v>
      </c>
      <c r="X14" s="98">
        <v>3357</v>
      </c>
      <c r="Y14" s="98">
        <v>3335</v>
      </c>
      <c r="Z14" s="98">
        <v>3331</v>
      </c>
      <c r="AA14" s="98">
        <v>3304</v>
      </c>
      <c r="AB14" s="98">
        <v>3286</v>
      </c>
      <c r="AC14" s="98">
        <v>3272</v>
      </c>
      <c r="AD14" s="98">
        <v>3268</v>
      </c>
      <c r="AE14" s="98">
        <v>3258</v>
      </c>
      <c r="AF14" s="98">
        <v>3258</v>
      </c>
      <c r="AG14" s="98">
        <v>3240</v>
      </c>
      <c r="AH14" s="98">
        <v>3240</v>
      </c>
      <c r="AI14" s="98">
        <v>3233</v>
      </c>
      <c r="AJ14" s="98">
        <v>3233</v>
      </c>
      <c r="AK14" s="98">
        <v>3231</v>
      </c>
      <c r="AL14" s="98">
        <v>3231</v>
      </c>
      <c r="AM14" s="98">
        <v>3230</v>
      </c>
      <c r="AN14" s="98">
        <v>3230</v>
      </c>
      <c r="AO14" s="98">
        <v>3195</v>
      </c>
      <c r="AP14" s="98">
        <v>3195</v>
      </c>
      <c r="AQ14" s="98">
        <v>3191</v>
      </c>
      <c r="AR14" s="98">
        <v>3191</v>
      </c>
      <c r="AS14" s="98">
        <v>3188.5</v>
      </c>
      <c r="AT14" s="98">
        <v>3188.5</v>
      </c>
      <c r="AU14" s="98">
        <v>3174</v>
      </c>
      <c r="AV14" s="98">
        <v>3174</v>
      </c>
      <c r="AW14" s="98">
        <v>3153.5819999999999</v>
      </c>
      <c r="AX14" s="98">
        <v>3134.8910000000001</v>
      </c>
      <c r="AY14" s="98">
        <v>3135</v>
      </c>
      <c r="AZ14" s="98">
        <v>3178.1840000000002</v>
      </c>
      <c r="BA14" s="98">
        <v>3196.625</v>
      </c>
      <c r="BB14" s="98">
        <v>3207.203</v>
      </c>
      <c r="BC14" s="98">
        <v>3224.5079999999998</v>
      </c>
      <c r="BD14" s="98">
        <v>3233.7249999999999</v>
      </c>
      <c r="BE14" s="98">
        <v>3235</v>
      </c>
      <c r="BF14" s="98">
        <v>3146</v>
      </c>
      <c r="BG14" s="98">
        <v>3147</v>
      </c>
      <c r="BH14" s="98">
        <v>3144</v>
      </c>
      <c r="BI14" s="98">
        <v>3142</v>
      </c>
      <c r="BJ14" s="98">
        <v>3136</v>
      </c>
      <c r="BK14" s="98">
        <v>3137</v>
      </c>
      <c r="BL14" s="98">
        <v>3119</v>
      </c>
      <c r="BM14" s="98">
        <v>3075.8910000000001</v>
      </c>
      <c r="BN14" s="98">
        <v>3021</v>
      </c>
      <c r="BO14" s="98">
        <v>2976.674</v>
      </c>
      <c r="BP14" s="98">
        <v>2946.4490000000001</v>
      </c>
      <c r="BQ14" s="98">
        <v>2914.1959999999999</v>
      </c>
      <c r="BR14" s="98">
        <v>2915.1060000000002</v>
      </c>
      <c r="BS14" s="98">
        <v>2885.143</v>
      </c>
      <c r="BT14" s="98">
        <v>2828.4389999999999</v>
      </c>
      <c r="BU14" s="98">
        <v>2829.2640000000001</v>
      </c>
      <c r="BV14" s="98">
        <v>2838.65</v>
      </c>
      <c r="BW14" s="98">
        <v>2851.3009999999999</v>
      </c>
      <c r="BX14" s="98">
        <v>2867.2620000000002</v>
      </c>
      <c r="BY14" s="98">
        <v>2883.1819999999998</v>
      </c>
      <c r="BZ14" s="98">
        <v>2887.29</v>
      </c>
      <c r="CA14" s="98">
        <v>2906.085</v>
      </c>
      <c r="CB14" s="98">
        <v>2919.3809999999999</v>
      </c>
      <c r="CC14" s="98">
        <v>2926.9609999999998</v>
      </c>
      <c r="CD14" s="98">
        <v>2931.8820000000001</v>
      </c>
      <c r="CE14" s="98">
        <v>2956.2869999999998</v>
      </c>
      <c r="CF14" s="98">
        <v>2988.9059999999999</v>
      </c>
      <c r="CG14" s="98">
        <v>3033.2460000000001</v>
      </c>
      <c r="CH14" s="98">
        <v>3059.9859999999999</v>
      </c>
      <c r="CI14" s="98">
        <v>3107.8980000000001</v>
      </c>
      <c r="CJ14" s="98">
        <v>3145.65</v>
      </c>
      <c r="CK14" s="98">
        <v>3207.3290000000002</v>
      </c>
      <c r="CL14" s="98">
        <v>3279.41</v>
      </c>
      <c r="CM14" s="98">
        <v>3335.2260000000001</v>
      </c>
      <c r="CN14" s="98">
        <v>3387.5059999999999</v>
      </c>
      <c r="CO14" s="98">
        <v>3444.7849999999999</v>
      </c>
      <c r="CP14" s="98">
        <v>3607.0819999999999</v>
      </c>
      <c r="CQ14" s="98">
        <v>3563.6979999999999</v>
      </c>
      <c r="CR14" s="98">
        <v>3668.2469999999998</v>
      </c>
      <c r="CS14" s="98">
        <v>3756.7060000000001</v>
      </c>
      <c r="CT14" s="98">
        <v>3839.348</v>
      </c>
      <c r="CU14" s="98">
        <v>3946.4079999999999</v>
      </c>
      <c r="CV14" s="98">
        <v>4036.5390000000002</v>
      </c>
      <c r="CW14" s="98">
        <v>4131.067</v>
      </c>
      <c r="CX14" s="98">
        <v>4236.0140000000001</v>
      </c>
      <c r="CY14" s="98">
        <v>4326.348</v>
      </c>
      <c r="CZ14" s="98">
        <v>4380.1049999999996</v>
      </c>
      <c r="DA14" s="98">
        <v>4461.2879999999996</v>
      </c>
    </row>
    <row r="15" spans="2:105" ht="21" customHeight="1"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02"/>
      <c r="DA15" s="102"/>
    </row>
    <row r="16" spans="2:105" ht="16.5" customHeight="1">
      <c r="B16" s="103" t="s">
        <v>20</v>
      </c>
      <c r="C16" s="104">
        <v>3.6999999999999998E-2</v>
      </c>
      <c r="D16" s="104">
        <v>3.3000000000000002E-2</v>
      </c>
      <c r="E16" s="104">
        <v>3.3000000000000002E-2</v>
      </c>
      <c r="F16" s="104">
        <v>3.4000000000000002E-2</v>
      </c>
      <c r="G16" s="104">
        <v>3.5999999999999997E-2</v>
      </c>
      <c r="H16" s="104">
        <v>3.5000000000000003E-2</v>
      </c>
      <c r="I16" s="104">
        <v>3.5999999999999997E-2</v>
      </c>
      <c r="J16" s="104">
        <v>3.5999999999999997E-2</v>
      </c>
      <c r="K16" s="104">
        <v>3.6999999999999998E-2</v>
      </c>
      <c r="L16" s="104">
        <v>3.5000000000000003E-2</v>
      </c>
      <c r="M16" s="104">
        <v>3.5000000000000003E-2</v>
      </c>
      <c r="N16" s="104">
        <v>3.4000000000000002E-2</v>
      </c>
      <c r="O16" s="104">
        <v>3.5000000000000003E-2</v>
      </c>
      <c r="P16" s="104">
        <v>3.6200000000000003E-2</v>
      </c>
      <c r="Q16" s="104">
        <v>3.5000000000000003E-2</v>
      </c>
      <c r="R16" s="104">
        <v>3.4000000000000002E-2</v>
      </c>
      <c r="S16" s="104">
        <v>3.5799999999999998E-2</v>
      </c>
      <c r="T16" s="104">
        <v>3.6499999999999998E-2</v>
      </c>
      <c r="U16" s="104">
        <v>3.61E-2</v>
      </c>
      <c r="V16" s="104">
        <v>3.6299999999999999E-2</v>
      </c>
      <c r="W16" s="104">
        <v>3.7199999999999997E-2</v>
      </c>
      <c r="X16" s="104">
        <v>4.0599999999999997E-2</v>
      </c>
      <c r="Y16" s="104">
        <v>3.95E-2</v>
      </c>
      <c r="Z16" s="104">
        <v>3.9600000000000003E-2</v>
      </c>
      <c r="AA16" s="104">
        <v>4.07E-2</v>
      </c>
      <c r="AB16" s="104">
        <v>4.2000000000000003E-2</v>
      </c>
      <c r="AC16" s="104">
        <v>4.2000000000000003E-2</v>
      </c>
      <c r="AD16" s="104">
        <v>4.2200000000000001E-2</v>
      </c>
      <c r="AE16" s="104">
        <v>4.2000000000000003E-2</v>
      </c>
      <c r="AF16" s="104">
        <v>4.2000000000000003E-2</v>
      </c>
      <c r="AG16" s="104">
        <v>3.95E-2</v>
      </c>
      <c r="AH16" s="104">
        <v>3.9100000000000003E-2</v>
      </c>
      <c r="AI16" s="104">
        <v>3.8699999999999998E-2</v>
      </c>
      <c r="AJ16" s="104">
        <v>3.8399999999999997E-2</v>
      </c>
      <c r="AK16" s="104">
        <v>3.8800000000000001E-2</v>
      </c>
      <c r="AL16" s="104">
        <v>3.8600000000000002E-2</v>
      </c>
      <c r="AM16" s="104">
        <v>3.8600000000000002E-2</v>
      </c>
      <c r="AN16" s="104">
        <v>3.8600000000000002E-2</v>
      </c>
      <c r="AO16" s="104">
        <v>3.6999999999999998E-2</v>
      </c>
      <c r="AP16" s="104">
        <v>3.6999999999999998E-2</v>
      </c>
      <c r="AQ16" s="104">
        <v>3.8300000000000001E-2</v>
      </c>
      <c r="AR16" s="104">
        <v>3.8300000000000001E-2</v>
      </c>
      <c r="AS16" s="104">
        <v>3.8600000000000002E-2</v>
      </c>
      <c r="AT16" s="104">
        <v>3.8600000000000002E-2</v>
      </c>
      <c r="AU16" s="104">
        <v>3.9E-2</v>
      </c>
      <c r="AV16" s="104">
        <v>3.9E-2</v>
      </c>
      <c r="AW16" s="104">
        <v>3.9800000000000002E-2</v>
      </c>
      <c r="AX16" s="104">
        <v>3.9600000000000003E-2</v>
      </c>
      <c r="AY16" s="104">
        <v>3.8899999999999997E-2</v>
      </c>
      <c r="AZ16" s="104">
        <v>3.8566707593496834E-2</v>
      </c>
      <c r="BA16" s="104">
        <v>3.5499999999999997E-2</v>
      </c>
      <c r="BB16" s="104">
        <v>3.596635379277266E-2</v>
      </c>
      <c r="BC16" s="104">
        <v>3.6318653856338763E-2</v>
      </c>
      <c r="BD16" s="104">
        <v>3.61E-2</v>
      </c>
      <c r="BE16" s="104">
        <v>3.56E-2</v>
      </c>
      <c r="BF16" s="104">
        <v>3.5499999999999997E-2</v>
      </c>
      <c r="BG16" s="104">
        <v>3.5499999999999997E-2</v>
      </c>
      <c r="BH16" s="104">
        <v>3.5299999999999998E-2</v>
      </c>
      <c r="BI16" s="104">
        <v>3.32E-2</v>
      </c>
      <c r="BJ16" s="104">
        <v>3.3399999999999999E-2</v>
      </c>
      <c r="BK16" s="104">
        <v>3.3300000000000003E-2</v>
      </c>
      <c r="BL16" s="104">
        <v>3.3099999999999997E-2</v>
      </c>
      <c r="BM16" s="104">
        <v>3.1899999999999998E-2</v>
      </c>
      <c r="BN16" s="104">
        <v>3.1600000000000003E-2</v>
      </c>
      <c r="BO16" s="104">
        <v>3.1300000000000001E-2</v>
      </c>
      <c r="BP16" s="104">
        <v>3.1199999999999999E-2</v>
      </c>
      <c r="BQ16" s="104">
        <v>2.7099999999999999E-2</v>
      </c>
      <c r="BR16" s="104">
        <v>2.7300000000000001E-2</v>
      </c>
      <c r="BS16" s="104">
        <v>2.6499999999999999E-2</v>
      </c>
      <c r="BT16" s="104">
        <v>2.58E-2</v>
      </c>
      <c r="BU16" s="104">
        <v>2.2700000000000001E-2</v>
      </c>
      <c r="BV16" s="104">
        <v>2.1499999999999998E-2</v>
      </c>
      <c r="BW16" s="104">
        <v>2.1299999999999999E-2</v>
      </c>
      <c r="BX16" s="104">
        <v>2.1700000000000001E-2</v>
      </c>
      <c r="BY16" s="104">
        <v>2.1000000000000001E-2</v>
      </c>
      <c r="BZ16" s="104">
        <v>2.0799999999999999E-2</v>
      </c>
      <c r="CA16" s="104">
        <v>2.0799999999999999E-2</v>
      </c>
      <c r="CB16" s="104">
        <v>2.12E-2</v>
      </c>
      <c r="CC16" s="104">
        <v>2.1700000000000001E-2</v>
      </c>
      <c r="CD16" s="104">
        <v>1.9800000000000002E-2</v>
      </c>
      <c r="CE16" s="104">
        <v>1.9449999999999999E-2</v>
      </c>
      <c r="CF16" s="104">
        <v>1.9400000000000001E-2</v>
      </c>
      <c r="CG16" s="104">
        <v>1.8800000000000001E-2</v>
      </c>
      <c r="CH16" s="104">
        <v>1.8700000000000001E-2</v>
      </c>
      <c r="CI16" s="104">
        <v>1.8700000000000001E-2</v>
      </c>
      <c r="CJ16" s="104">
        <v>1.95E-2</v>
      </c>
      <c r="CK16" s="104">
        <v>2.1999999999999999E-2</v>
      </c>
      <c r="CL16" s="104">
        <v>2.1499999999999998E-2</v>
      </c>
      <c r="CM16" s="104">
        <v>2.1100000000000001E-2</v>
      </c>
      <c r="CN16" s="104">
        <v>2.1299999999999999E-2</v>
      </c>
      <c r="CO16" s="104">
        <v>1.9E-2</v>
      </c>
      <c r="CP16" s="104">
        <v>1.89E-2</v>
      </c>
      <c r="CQ16" s="104">
        <v>1.9099999999999999E-2</v>
      </c>
      <c r="CR16" s="104">
        <v>1.95E-2</v>
      </c>
      <c r="CS16" s="104">
        <v>2.01E-2</v>
      </c>
      <c r="CT16" s="104">
        <v>1.95E-2</v>
      </c>
      <c r="CU16" s="104">
        <v>0.02</v>
      </c>
      <c r="CV16" s="104">
        <v>2.0299999999999999E-2</v>
      </c>
      <c r="CW16" s="104">
        <v>2.0400000000000001E-2</v>
      </c>
      <c r="CX16" s="104">
        <v>2.07E-2</v>
      </c>
      <c r="CY16" s="104">
        <v>2.1000000000000001E-2</v>
      </c>
      <c r="CZ16" s="104">
        <v>2.12E-2</v>
      </c>
      <c r="DA16" s="104">
        <v>2.1100000000000001E-2</v>
      </c>
    </row>
    <row r="17" spans="2:105" ht="16.5" customHeight="1">
      <c r="B17" s="103" t="s">
        <v>100</v>
      </c>
      <c r="C17" s="104">
        <v>0.60299999999999998</v>
      </c>
      <c r="D17" s="104">
        <v>0.61799999999999999</v>
      </c>
      <c r="E17" s="104">
        <v>0.62</v>
      </c>
      <c r="F17" s="104">
        <v>0.61699999999999999</v>
      </c>
      <c r="G17" s="104">
        <v>0.59799999999999998</v>
      </c>
      <c r="H17" s="104">
        <v>0.58099999999999996</v>
      </c>
      <c r="I17" s="104">
        <v>0.58299999999999996</v>
      </c>
      <c r="J17" s="104">
        <v>0.58099999999999996</v>
      </c>
      <c r="K17" s="104">
        <v>0.58399999999999996</v>
      </c>
      <c r="L17" s="104">
        <v>0.58199999999999996</v>
      </c>
      <c r="M17" s="104">
        <v>0.56999999999999995</v>
      </c>
      <c r="N17" s="104">
        <v>0.57099999999999995</v>
      </c>
      <c r="O17" s="104">
        <v>0.56899999999999995</v>
      </c>
      <c r="P17" s="104">
        <v>0.52400000000000002</v>
      </c>
      <c r="Q17" s="104">
        <v>0.52800000000000002</v>
      </c>
      <c r="R17" s="104">
        <v>0.53500000000000003</v>
      </c>
      <c r="S17" s="104">
        <v>0.53700000000000003</v>
      </c>
      <c r="T17" s="104">
        <v>0.51200000000000001</v>
      </c>
      <c r="U17" s="104">
        <v>0.52800000000000002</v>
      </c>
      <c r="V17" s="104">
        <v>0.51300000000000001</v>
      </c>
      <c r="W17" s="104">
        <v>0.5</v>
      </c>
      <c r="X17" s="104">
        <v>0.45300000000000001</v>
      </c>
      <c r="Y17" s="104">
        <v>0.46800000000000003</v>
      </c>
      <c r="Z17" s="104">
        <v>0.47199999999999998</v>
      </c>
      <c r="AA17" s="104">
        <v>0.45800000000000002</v>
      </c>
      <c r="AB17" s="104">
        <v>0.44500000000000001</v>
      </c>
      <c r="AC17" s="104">
        <v>0.42499999999999999</v>
      </c>
      <c r="AD17" s="104">
        <v>0.42</v>
      </c>
      <c r="AE17" s="104">
        <v>0.42</v>
      </c>
      <c r="AF17" s="104">
        <v>0.42199999999999999</v>
      </c>
      <c r="AG17" s="104">
        <v>0.42099999999999999</v>
      </c>
      <c r="AH17" s="104">
        <v>0.42</v>
      </c>
      <c r="AI17" s="104">
        <v>0.42199999999999999</v>
      </c>
      <c r="AJ17" s="104">
        <v>0.42299999999999999</v>
      </c>
      <c r="AK17" s="104">
        <v>0.41499999999999998</v>
      </c>
      <c r="AL17" s="104">
        <v>0.41423196128870404</v>
      </c>
      <c r="AM17" s="104">
        <v>0.41099999999999998</v>
      </c>
      <c r="AN17" s="104">
        <v>0.41099999999999998</v>
      </c>
      <c r="AO17" s="104">
        <v>0.41599999999999998</v>
      </c>
      <c r="AP17" s="104">
        <v>0.41599999999999998</v>
      </c>
      <c r="AQ17" s="104">
        <v>0.40799999999999997</v>
      </c>
      <c r="AR17" s="104">
        <v>0.40799999999999997</v>
      </c>
      <c r="AS17" s="104">
        <v>0.41863351037971169</v>
      </c>
      <c r="AT17" s="104">
        <v>0.41863351037971169</v>
      </c>
      <c r="AU17" s="104">
        <v>0.41799999999999998</v>
      </c>
      <c r="AV17" s="104">
        <v>0.41799999999999998</v>
      </c>
      <c r="AW17" s="104">
        <v>0.40761978299086049</v>
      </c>
      <c r="AX17" s="104">
        <v>0.41854376364716139</v>
      </c>
      <c r="AY17" s="104">
        <v>0.4174290925127544</v>
      </c>
      <c r="AZ17" s="104">
        <v>0.41906241473666905</v>
      </c>
      <c r="BA17" s="104">
        <v>0.45</v>
      </c>
      <c r="BB17" s="104">
        <v>0.45113345307916403</v>
      </c>
      <c r="BC17" s="104">
        <v>0.45341006040995951</v>
      </c>
      <c r="BD17" s="104">
        <v>0.45046028943949834</v>
      </c>
      <c r="BE17" s="104">
        <v>0.438</v>
      </c>
      <c r="BF17" s="104">
        <v>0.441</v>
      </c>
      <c r="BG17" s="104">
        <v>0.44500000000000001</v>
      </c>
      <c r="BH17" s="104">
        <v>0.443</v>
      </c>
      <c r="BI17" s="104">
        <v>0.42790429067770608</v>
      </c>
      <c r="BJ17" s="104">
        <v>0.45543649727470931</v>
      </c>
      <c r="BK17" s="104">
        <v>0.45700000000000002</v>
      </c>
      <c r="BL17" s="104">
        <v>0.46800000000000003</v>
      </c>
      <c r="BM17" s="104">
        <v>0.46337617804840292</v>
      </c>
      <c r="BN17" s="104">
        <v>0.46286459838414817</v>
      </c>
      <c r="BO17" s="104">
        <v>0.46502971631380902</v>
      </c>
      <c r="BP17" s="104">
        <v>0.47469424522099263</v>
      </c>
      <c r="BQ17" s="104">
        <v>0.49440596863215386</v>
      </c>
      <c r="BR17" s="104">
        <v>0.48990448133717818</v>
      </c>
      <c r="BS17" s="104">
        <v>0.48599999999999999</v>
      </c>
      <c r="BT17" s="104">
        <v>0.48997391721798716</v>
      </c>
      <c r="BU17" s="104">
        <v>0.48941332626994344</v>
      </c>
      <c r="BV17" s="104">
        <v>0.49155215717871598</v>
      </c>
      <c r="BW17" s="104">
        <v>0.47704340549953372</v>
      </c>
      <c r="BX17" s="104">
        <v>0.46884888756980908</v>
      </c>
      <c r="BY17" s="104">
        <v>0.47308720041768987</v>
      </c>
      <c r="BZ17" s="104">
        <v>0.45719518872227183</v>
      </c>
      <c r="CA17" s="104">
        <v>0.46017257858713922</v>
      </c>
      <c r="CB17" s="104">
        <v>0.46188319555053209</v>
      </c>
      <c r="CC17" s="104">
        <v>0.48509704933019782</v>
      </c>
      <c r="CD17" s="104">
        <v>0.49042967205388838</v>
      </c>
      <c r="CE17" s="104">
        <v>0.48199999999999998</v>
      </c>
      <c r="CF17" s="104">
        <v>0.47589999999999999</v>
      </c>
      <c r="CG17" s="104">
        <v>0.51</v>
      </c>
      <c r="CH17" s="104">
        <v>0.49199999999999999</v>
      </c>
      <c r="CI17" s="104">
        <v>0.47799999999999998</v>
      </c>
      <c r="CJ17" s="104">
        <v>0.48199999999999998</v>
      </c>
      <c r="CK17" s="104">
        <v>0.41599999999999998</v>
      </c>
      <c r="CL17" s="104">
        <v>0.41499999999999998</v>
      </c>
      <c r="CM17" s="104">
        <v>0.41899999999999998</v>
      </c>
      <c r="CN17" s="104">
        <v>0.42799999999999999</v>
      </c>
      <c r="CO17" s="104">
        <v>0.51</v>
      </c>
      <c r="CP17" s="104">
        <v>0.48499999999999999</v>
      </c>
      <c r="CQ17" s="104">
        <v>0.47699999999999998</v>
      </c>
      <c r="CR17" s="104">
        <v>0.47849999999999998</v>
      </c>
      <c r="CS17" s="104">
        <v>0.44190000000000002</v>
      </c>
      <c r="CT17" s="104">
        <v>0.43819999999999998</v>
      </c>
      <c r="CU17" s="104">
        <v>0.42359999999999998</v>
      </c>
      <c r="CV17" s="104">
        <v>0.43030000000000002</v>
      </c>
      <c r="CW17" s="104">
        <v>0.4471</v>
      </c>
      <c r="CX17" s="104">
        <v>0.43830000000000002</v>
      </c>
      <c r="CY17" s="104">
        <v>0.43180000000000002</v>
      </c>
      <c r="CZ17" s="104">
        <v>0.42720000000000002</v>
      </c>
      <c r="DA17" s="104">
        <v>0.42559999999999998</v>
      </c>
    </row>
    <row r="18" spans="2:105" ht="16.5" customHeight="1">
      <c r="B18" s="103" t="s">
        <v>0</v>
      </c>
      <c r="C18" s="104">
        <v>0.214</v>
      </c>
      <c r="D18" s="104">
        <v>0.23599999999999999</v>
      </c>
      <c r="E18" s="104">
        <v>0.22600000000000001</v>
      </c>
      <c r="F18" s="104">
        <v>0.24199999999999999</v>
      </c>
      <c r="G18" s="104">
        <v>0.23699999999999999</v>
      </c>
      <c r="H18" s="104">
        <v>0.308</v>
      </c>
      <c r="I18" s="104">
        <v>0.24199999999999999</v>
      </c>
      <c r="J18" s="104">
        <v>0.22600000000000001</v>
      </c>
      <c r="K18" s="104">
        <v>0.218</v>
      </c>
      <c r="L18" s="104">
        <v>0.22700000000000001</v>
      </c>
      <c r="M18" s="104">
        <v>0.23899999999999999</v>
      </c>
      <c r="N18" s="104">
        <v>0.23699999999999999</v>
      </c>
      <c r="O18" s="104">
        <v>0.223</v>
      </c>
      <c r="P18" s="104">
        <v>0.22500000000000001</v>
      </c>
      <c r="Q18" s="104">
        <v>0.22</v>
      </c>
      <c r="R18" s="104">
        <v>0.22</v>
      </c>
      <c r="S18" s="104">
        <v>0.23</v>
      </c>
      <c r="T18" s="104">
        <v>0.218</v>
      </c>
      <c r="U18" s="104">
        <v>0.21</v>
      </c>
      <c r="V18" s="104">
        <v>0.216</v>
      </c>
      <c r="W18" s="104">
        <v>0.23799999999999999</v>
      </c>
      <c r="X18" s="104">
        <v>0.22600000000000001</v>
      </c>
      <c r="Y18" s="104">
        <v>0.22900000000000001</v>
      </c>
      <c r="Z18" s="104">
        <v>0.32</v>
      </c>
      <c r="AA18" s="104">
        <v>0.26300000000000001</v>
      </c>
      <c r="AB18" s="104">
        <v>0.182</v>
      </c>
      <c r="AC18" s="104">
        <v>0.19900000000000001</v>
      </c>
      <c r="AD18" s="104">
        <v>0.20699999999999999</v>
      </c>
      <c r="AE18" s="104">
        <v>0.193</v>
      </c>
      <c r="AF18" s="104">
        <v>0.20300000000000001</v>
      </c>
      <c r="AG18" s="104">
        <v>0.193</v>
      </c>
      <c r="AH18" s="104">
        <v>0.19400000000000001</v>
      </c>
      <c r="AI18" s="104">
        <v>0.18099999999999999</v>
      </c>
      <c r="AJ18" s="104">
        <v>0.17899999999999999</v>
      </c>
      <c r="AK18" s="104">
        <v>0.17399999999999999</v>
      </c>
      <c r="AL18" s="104">
        <v>0.16900000000000001</v>
      </c>
      <c r="AM18" s="104">
        <v>0.182</v>
      </c>
      <c r="AN18" s="104">
        <v>0.182</v>
      </c>
      <c r="AO18" s="104">
        <v>0.21</v>
      </c>
      <c r="AP18" s="104">
        <v>0.21</v>
      </c>
      <c r="AQ18" s="104">
        <v>0.19700000000000001</v>
      </c>
      <c r="AR18" s="104">
        <v>0.19700000000000001</v>
      </c>
      <c r="AS18" s="104">
        <v>0.17299999999999999</v>
      </c>
      <c r="AT18" s="104">
        <v>0.17299999999999999</v>
      </c>
      <c r="AU18" s="104">
        <v>0.182</v>
      </c>
      <c r="AV18" s="104">
        <v>0.182</v>
      </c>
      <c r="AW18" s="104">
        <v>0.216</v>
      </c>
      <c r="AX18" s="104">
        <v>0.19700000000000001</v>
      </c>
      <c r="AY18" s="104">
        <v>0.186</v>
      </c>
      <c r="AZ18" s="104">
        <v>0.19299905059147413</v>
      </c>
      <c r="BA18" s="104">
        <v>0.17599999999999999</v>
      </c>
      <c r="BB18" s="104">
        <v>0.17146206050659871</v>
      </c>
      <c r="BC18" s="104">
        <v>0.16034318333286499</v>
      </c>
      <c r="BD18" s="104">
        <v>0.16200000000000001</v>
      </c>
      <c r="BE18" s="104">
        <v>0.155</v>
      </c>
      <c r="BF18" s="104">
        <v>0.15</v>
      </c>
      <c r="BG18" s="104">
        <v>0.14499999999999999</v>
      </c>
      <c r="BH18" s="104">
        <v>0.14499999999999999</v>
      </c>
      <c r="BI18" s="104">
        <v>0.13300000000000001</v>
      </c>
      <c r="BJ18" s="104">
        <v>0.13300000000000001</v>
      </c>
      <c r="BK18" s="104">
        <v>0.13700000000000001</v>
      </c>
      <c r="BL18" s="104">
        <v>0.13</v>
      </c>
      <c r="BM18" s="104">
        <v>0.111</v>
      </c>
      <c r="BN18" s="104">
        <v>0.13500000000000001</v>
      </c>
      <c r="BO18" s="104">
        <v>0.13220000000000001</v>
      </c>
      <c r="BP18" s="104">
        <v>0.1285</v>
      </c>
      <c r="BQ18" s="104">
        <v>0.115</v>
      </c>
      <c r="BR18" s="104">
        <v>0.12479999999999999</v>
      </c>
      <c r="BS18" s="104">
        <v>0.12839999999999999</v>
      </c>
      <c r="BT18" s="104">
        <v>0.1206</v>
      </c>
      <c r="BU18" s="104">
        <v>0.13300000000000001</v>
      </c>
      <c r="BV18" s="104">
        <v>0.12889999999999999</v>
      </c>
      <c r="BW18" s="104">
        <v>0.1313</v>
      </c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</row>
    <row r="19" spans="2:105" ht="16.5" customHeight="1">
      <c r="B19" s="106" t="s">
        <v>136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>
        <v>0.124</v>
      </c>
      <c r="BU19" s="104"/>
      <c r="BV19" s="104"/>
      <c r="BW19" s="104"/>
      <c r="BX19" s="105">
        <v>0.13170000000000001</v>
      </c>
      <c r="BY19" s="105">
        <v>0.13600000000000001</v>
      </c>
      <c r="BZ19" s="105">
        <v>0.14399999999999999</v>
      </c>
      <c r="CA19" s="105">
        <v>0.14510000000000001</v>
      </c>
      <c r="CB19" s="105">
        <v>0.14460000000000001</v>
      </c>
      <c r="CC19" s="105">
        <v>0.1028</v>
      </c>
      <c r="CD19" s="105">
        <v>6.4899999999999999E-2</v>
      </c>
      <c r="CE19" s="105">
        <v>7.7700000000000005E-2</v>
      </c>
      <c r="CF19" s="105">
        <v>6.9800000000000001E-2</v>
      </c>
      <c r="CG19" s="105">
        <v>8.1000000000000003E-2</v>
      </c>
      <c r="CH19" s="105">
        <v>9.9000000000000005E-2</v>
      </c>
      <c r="CI19" s="105">
        <v>0.10199999999999999</v>
      </c>
      <c r="CJ19" s="105">
        <v>9.8000000000000004E-2</v>
      </c>
      <c r="CK19" s="105">
        <v>0.14599999999999999</v>
      </c>
      <c r="CL19" s="105">
        <v>0.16600000000000001</v>
      </c>
      <c r="CM19" s="105">
        <v>0.155</v>
      </c>
      <c r="CN19" s="105">
        <v>0.152</v>
      </c>
      <c r="CO19" s="105">
        <v>0.10100000000000001</v>
      </c>
      <c r="CP19" s="105">
        <v>0.13800000000000001</v>
      </c>
      <c r="CQ19" s="105">
        <v>0.1477</v>
      </c>
      <c r="CR19" s="105">
        <v>0.13919999999999999</v>
      </c>
      <c r="CS19" s="105">
        <v>0.1661</v>
      </c>
      <c r="CT19" s="105">
        <v>0.1759</v>
      </c>
      <c r="CU19" s="105">
        <v>0.185</v>
      </c>
      <c r="CV19" s="105">
        <v>0.1837</v>
      </c>
      <c r="CW19" s="105">
        <v>0.15490000000000001</v>
      </c>
      <c r="CX19" s="105">
        <v>0.16800000000000001</v>
      </c>
      <c r="CY19" s="105">
        <v>0.1711</v>
      </c>
      <c r="CZ19" s="105">
        <v>0.1885</v>
      </c>
      <c r="DA19" s="105">
        <v>0.1865</v>
      </c>
    </row>
    <row r="20" spans="2:105" ht="16.5" customHeight="1">
      <c r="B20" s="103" t="s">
        <v>1</v>
      </c>
      <c r="C20" s="104">
        <v>1.12E-2</v>
      </c>
      <c r="D20" s="104">
        <v>1.3599999999999999E-2</v>
      </c>
      <c r="E20" s="104">
        <v>1.26E-2</v>
      </c>
      <c r="F20" s="104">
        <v>1.3899999999999999E-2</v>
      </c>
      <c r="G20" s="104">
        <v>1.37E-2</v>
      </c>
      <c r="H20" s="104">
        <v>1.7999999999999999E-2</v>
      </c>
      <c r="I20" s="104">
        <v>1.55E-2</v>
      </c>
      <c r="J20" s="104">
        <v>1.4E-2</v>
      </c>
      <c r="K20" s="104">
        <v>1.4E-2</v>
      </c>
      <c r="L20" s="104">
        <v>1.4999999999999999E-2</v>
      </c>
      <c r="M20" s="104">
        <v>1.6E-2</v>
      </c>
      <c r="N20" s="104">
        <v>1.4999999999999999E-2</v>
      </c>
      <c r="O20" s="104">
        <v>1.4E-2</v>
      </c>
      <c r="P20" s="104">
        <v>1.49E-2</v>
      </c>
      <c r="Q20" s="104">
        <v>1.4E-2</v>
      </c>
      <c r="R20" s="104">
        <v>1.43E-2</v>
      </c>
      <c r="S20" s="104">
        <v>1.482E-2</v>
      </c>
      <c r="T20" s="104">
        <v>1.4E-2</v>
      </c>
      <c r="U20" s="104">
        <v>1.4E-2</v>
      </c>
      <c r="V20" s="104">
        <v>1.4E-2</v>
      </c>
      <c r="W20" s="104">
        <v>1.4999999999999999E-2</v>
      </c>
      <c r="X20" s="104">
        <v>1.5599999999999999E-2</v>
      </c>
      <c r="Y20" s="104">
        <v>1.6E-2</v>
      </c>
      <c r="Z20" s="104">
        <v>2.1999999999999999E-2</v>
      </c>
      <c r="AA20" s="104">
        <v>1.7999999999999999E-2</v>
      </c>
      <c r="AB20" s="104">
        <v>1.4E-2</v>
      </c>
      <c r="AC20" s="104">
        <v>1.4E-2</v>
      </c>
      <c r="AD20" s="104">
        <v>1.4E-2</v>
      </c>
      <c r="AE20" s="104">
        <v>1.4E-2</v>
      </c>
      <c r="AF20" s="104">
        <v>1.4E-2</v>
      </c>
      <c r="AG20" s="104">
        <v>1.4E-2</v>
      </c>
      <c r="AH20" s="104">
        <v>1.4999999999999999E-2</v>
      </c>
      <c r="AI20" s="104">
        <v>1.2999999999999999E-2</v>
      </c>
      <c r="AJ20" s="104">
        <v>1.2999999999999999E-2</v>
      </c>
      <c r="AK20" s="104">
        <v>1.2999999999999999E-2</v>
      </c>
      <c r="AL20" s="104">
        <v>1.2E-2</v>
      </c>
      <c r="AM20" s="104">
        <v>1.2999999999999999E-2</v>
      </c>
      <c r="AN20" s="104">
        <v>1.2999999999999999E-2</v>
      </c>
      <c r="AO20" s="104">
        <v>1.7000000000000001E-2</v>
      </c>
      <c r="AP20" s="104">
        <v>1.7000000000000001E-2</v>
      </c>
      <c r="AQ20" s="104">
        <v>1.6E-2</v>
      </c>
      <c r="AR20" s="104">
        <v>1.6E-2</v>
      </c>
      <c r="AS20" s="104">
        <v>1.4E-2</v>
      </c>
      <c r="AT20" s="104">
        <v>1.4E-2</v>
      </c>
      <c r="AU20" s="104">
        <v>1.4999999999999999E-2</v>
      </c>
      <c r="AV20" s="104">
        <v>1.4999999999999999E-2</v>
      </c>
      <c r="AW20" s="104">
        <v>0.02</v>
      </c>
      <c r="AX20" s="104">
        <v>1.7999999999999999E-2</v>
      </c>
      <c r="AY20" s="104">
        <v>1.7000000000000001E-2</v>
      </c>
      <c r="AZ20" s="104">
        <v>1.8081602693484237E-2</v>
      </c>
      <c r="BA20" s="104">
        <v>1.75887844612664E-2</v>
      </c>
      <c r="BB20" s="104">
        <v>1.7141584710249319E-2</v>
      </c>
      <c r="BC20" s="104">
        <v>1.6043770941695901E-2</v>
      </c>
      <c r="BD20" s="104">
        <v>1.6E-2</v>
      </c>
      <c r="BE20" s="104">
        <v>1.7000000000000001E-2</v>
      </c>
      <c r="BF20" s="104">
        <v>1.7000000000000001E-2</v>
      </c>
      <c r="BG20" s="104">
        <v>1.7000000000000001E-2</v>
      </c>
      <c r="BH20" s="104">
        <v>1.7000000000000001E-2</v>
      </c>
      <c r="BI20" s="104">
        <v>1.6E-2</v>
      </c>
      <c r="BJ20" s="104">
        <v>1.6E-2</v>
      </c>
      <c r="BK20" s="104">
        <v>1.6E-2</v>
      </c>
      <c r="BL20" s="104">
        <v>1.4999999999999999E-2</v>
      </c>
      <c r="BM20" s="104">
        <v>1.4E-2</v>
      </c>
      <c r="BN20" s="104">
        <v>1.7000000000000001E-2</v>
      </c>
      <c r="BO20" s="104">
        <v>1.5699999999999999E-2</v>
      </c>
      <c r="BP20" s="104">
        <v>1.5299999999999999E-2</v>
      </c>
      <c r="BQ20" s="104">
        <v>1.2E-2</v>
      </c>
      <c r="BR20" s="104">
        <v>1.23E-2</v>
      </c>
      <c r="BS20" s="104">
        <v>1.23E-2</v>
      </c>
      <c r="BT20" s="104">
        <v>1.1299999999999999E-2</v>
      </c>
      <c r="BU20" s="104">
        <v>1.2200000000000001E-2</v>
      </c>
      <c r="BV20" s="104">
        <v>1.14E-2</v>
      </c>
      <c r="BW20" s="104">
        <v>1.1299999999999999E-2</v>
      </c>
      <c r="BX20" s="104">
        <v>1.09E-2</v>
      </c>
      <c r="BY20" s="104">
        <v>1.06E-2</v>
      </c>
      <c r="BZ20" s="104">
        <v>1.15E-2</v>
      </c>
      <c r="CA20" s="104">
        <v>1.1299999999999999E-2</v>
      </c>
      <c r="CB20" s="104">
        <v>1.1599999999999999E-2</v>
      </c>
      <c r="CC20" s="104">
        <v>8.2000000000000007E-3</v>
      </c>
      <c r="CD20" s="104">
        <v>5.7999999999999996E-3</v>
      </c>
      <c r="CE20" s="104">
        <v>6.6E-3</v>
      </c>
      <c r="CF20" s="104">
        <v>6.1999999999999998E-3</v>
      </c>
      <c r="CG20" s="104">
        <v>6.6E-3</v>
      </c>
      <c r="CH20" s="104">
        <v>8.0000000000000002E-3</v>
      </c>
      <c r="CI20" s="104">
        <v>8.6E-3</v>
      </c>
      <c r="CJ20" s="104">
        <v>8.3999999999999995E-3</v>
      </c>
      <c r="CK20" s="104">
        <v>1.12E-2</v>
      </c>
      <c r="CL20" s="104">
        <v>1.21E-2</v>
      </c>
      <c r="CM20" s="104">
        <v>1.09E-2</v>
      </c>
      <c r="CN20" s="104">
        <v>1.0999999999999999E-2</v>
      </c>
      <c r="CO20" s="104">
        <v>7.3000000000000001E-3</v>
      </c>
      <c r="CP20" s="104">
        <v>9.9000000000000008E-3</v>
      </c>
      <c r="CQ20" s="104">
        <v>1.03E-2</v>
      </c>
      <c r="CR20" s="104">
        <v>9.9000000000000008E-3</v>
      </c>
      <c r="CS20" s="104">
        <v>1.15E-2</v>
      </c>
      <c r="CT20" s="104">
        <v>1.21E-2</v>
      </c>
      <c r="CU20" s="104">
        <v>1.26E-2</v>
      </c>
      <c r="CV20" s="104">
        <v>1.2699999999999999E-2</v>
      </c>
      <c r="CW20" s="104">
        <v>1.09E-2</v>
      </c>
      <c r="CX20" s="104">
        <v>1.2E-2</v>
      </c>
      <c r="CY20" s="104">
        <v>1.1900000000000001E-2</v>
      </c>
      <c r="CZ20" s="104">
        <v>1.3100000000000001E-2</v>
      </c>
      <c r="DA20" s="104">
        <v>1.2800000000000001E-2</v>
      </c>
    </row>
    <row r="21" spans="2:105" ht="16.5" customHeight="1">
      <c r="B21" s="103" t="s">
        <v>84</v>
      </c>
      <c r="C21" s="107">
        <v>0.16500000000000001</v>
      </c>
      <c r="D21" s="107">
        <v>0.17299999999999999</v>
      </c>
      <c r="E21" s="107">
        <v>0.158</v>
      </c>
      <c r="F21" s="107">
        <v>0.16</v>
      </c>
      <c r="G21" s="107">
        <v>0.14599999999999999</v>
      </c>
      <c r="H21" s="107">
        <v>0.155</v>
      </c>
      <c r="I21" s="107">
        <v>0.13500000000000001</v>
      </c>
      <c r="J21" s="107">
        <v>0.13300000000000001</v>
      </c>
      <c r="K21" s="107">
        <v>0.13300000000000001</v>
      </c>
      <c r="L21" s="107">
        <v>0.129</v>
      </c>
      <c r="M21" s="107">
        <v>0.121</v>
      </c>
      <c r="N21" s="107">
        <v>0.121</v>
      </c>
      <c r="O21" s="107">
        <v>0.111</v>
      </c>
      <c r="P21" s="107">
        <v>0.112</v>
      </c>
      <c r="Q21" s="107">
        <v>0.115</v>
      </c>
      <c r="R21" s="107">
        <v>0.115</v>
      </c>
      <c r="S21" s="107">
        <v>0.111</v>
      </c>
      <c r="T21" s="107">
        <v>0.111</v>
      </c>
      <c r="U21" s="107">
        <v>0.1041</v>
      </c>
      <c r="V21" s="107">
        <v>9.5000000000000001E-2</v>
      </c>
      <c r="W21" s="107">
        <v>9.4E-2</v>
      </c>
      <c r="X21" s="107">
        <v>0.112</v>
      </c>
      <c r="Y21" s="107">
        <v>0.107</v>
      </c>
      <c r="Z21" s="107">
        <v>0.108</v>
      </c>
      <c r="AA21" s="107">
        <v>9.9000000000000005E-2</v>
      </c>
      <c r="AB21" s="107">
        <v>0.10199999999999999</v>
      </c>
      <c r="AC21" s="107">
        <v>0.122</v>
      </c>
      <c r="AD21" s="107">
        <v>0.123</v>
      </c>
      <c r="AE21" s="107">
        <v>0.122</v>
      </c>
      <c r="AF21" s="107">
        <v>0.122</v>
      </c>
      <c r="AG21" s="107">
        <v>0.122</v>
      </c>
      <c r="AH21" s="107">
        <v>0.122</v>
      </c>
      <c r="AI21" s="107">
        <v>0.13500000000000001</v>
      </c>
      <c r="AJ21" s="107">
        <v>0.13500000000000001</v>
      </c>
      <c r="AK21" s="107">
        <v>0.14000000000000001</v>
      </c>
      <c r="AL21" s="107">
        <v>0.14000000000000001</v>
      </c>
      <c r="AM21" s="107">
        <v>0.14099999999999999</v>
      </c>
      <c r="AN21" s="107">
        <v>0.14099999999999999</v>
      </c>
      <c r="AO21" s="107">
        <v>0.14000000000000001</v>
      </c>
      <c r="AP21" s="107">
        <v>0.14000000000000001</v>
      </c>
      <c r="AQ21" s="107">
        <v>0.152</v>
      </c>
      <c r="AR21" s="107">
        <v>0.152</v>
      </c>
      <c r="AS21" s="107">
        <v>0.14399999999999999</v>
      </c>
      <c r="AT21" s="107">
        <v>0.14199999999999999</v>
      </c>
      <c r="AU21" s="107">
        <v>0.13641839378238341</v>
      </c>
      <c r="AV21" s="107">
        <v>0.13641839378238341</v>
      </c>
      <c r="AW21" s="107">
        <v>0.14000000000000001</v>
      </c>
      <c r="AX21" s="107">
        <v>0.15969617798367763</v>
      </c>
      <c r="AY21" s="107">
        <v>0.16544544544544543</v>
      </c>
      <c r="AZ21" s="107">
        <v>0.16086016762240846</v>
      </c>
      <c r="BA21" s="107">
        <v>0.15998030149653908</v>
      </c>
      <c r="BB21" s="107">
        <v>0.18078495681644255</v>
      </c>
      <c r="BC21" s="107">
        <v>0.18120637703391226</v>
      </c>
      <c r="BD21" s="107">
        <v>0.186</v>
      </c>
      <c r="BE21" s="107">
        <v>0.184</v>
      </c>
      <c r="BF21" s="107">
        <v>0.187</v>
      </c>
      <c r="BG21" s="107">
        <v>0.18099999999999999</v>
      </c>
      <c r="BH21" s="107">
        <v>0.185</v>
      </c>
      <c r="BI21" s="107">
        <v>0.19500000000000001</v>
      </c>
      <c r="BJ21" s="107">
        <v>0.192</v>
      </c>
      <c r="BK21" s="107">
        <v>0.188</v>
      </c>
      <c r="BL21" s="107">
        <v>0.21299999999999999</v>
      </c>
      <c r="BM21" s="107">
        <v>0.20100000000000001</v>
      </c>
      <c r="BN21" s="107">
        <v>0.19600000000000001</v>
      </c>
      <c r="BO21" s="107">
        <v>0.19400000000000001</v>
      </c>
      <c r="BP21" s="107">
        <v>0.20100000000000001</v>
      </c>
      <c r="BQ21" s="107">
        <v>0.191</v>
      </c>
      <c r="BR21" s="107">
        <v>0.19241557739317861</v>
      </c>
      <c r="BS21" s="107">
        <v>0.18</v>
      </c>
      <c r="BT21" s="107">
        <v>0.187</v>
      </c>
      <c r="BU21" s="107">
        <v>0.17799999999999999</v>
      </c>
      <c r="BV21" s="107">
        <v>0.17260877609028374</v>
      </c>
      <c r="BW21" s="107">
        <v>0.17599999999999999</v>
      </c>
      <c r="BX21" s="107">
        <v>0.192</v>
      </c>
      <c r="BY21" s="107">
        <v>0.188</v>
      </c>
      <c r="BZ21" s="107">
        <v>0.20599999999999999</v>
      </c>
      <c r="CA21" s="107">
        <v>0.20200000000000001</v>
      </c>
      <c r="CB21" s="107">
        <v>0.22</v>
      </c>
      <c r="CC21" s="108">
        <v>0.22800000000000001</v>
      </c>
      <c r="CD21" s="108">
        <v>0.253</v>
      </c>
      <c r="CE21" s="108">
        <v>0.247</v>
      </c>
      <c r="CF21" s="108">
        <v>0.25600000000000001</v>
      </c>
      <c r="CG21" s="108">
        <v>0.254</v>
      </c>
      <c r="CH21" s="108">
        <v>0.254</v>
      </c>
      <c r="CI21" s="108">
        <v>0.23499999999999999</v>
      </c>
      <c r="CJ21" s="108">
        <v>0.23799999999999999</v>
      </c>
      <c r="CK21" s="108">
        <v>0.21199999999999999</v>
      </c>
      <c r="CL21" s="108">
        <v>0.20300000000000001</v>
      </c>
      <c r="CM21" s="108">
        <v>0.19900000000000001</v>
      </c>
      <c r="CN21" s="108">
        <v>0.20200000000000001</v>
      </c>
      <c r="CO21" s="108">
        <v>0.19600000000000001</v>
      </c>
      <c r="CP21" s="108">
        <v>0.19400000000000001</v>
      </c>
      <c r="CQ21" s="108">
        <v>0.192</v>
      </c>
      <c r="CR21" s="108">
        <v>0.19600000000000001</v>
      </c>
      <c r="CS21" s="108">
        <v>0.191</v>
      </c>
      <c r="CT21" s="108">
        <v>0.19</v>
      </c>
      <c r="CU21" s="108">
        <v>0.183</v>
      </c>
      <c r="CV21" s="108">
        <v>0.186</v>
      </c>
      <c r="CW21" s="108">
        <v>0.19800000000000001</v>
      </c>
      <c r="CX21" s="108">
        <v>0.188</v>
      </c>
      <c r="CY21" s="108">
        <v>0.191</v>
      </c>
      <c r="CZ21" s="108">
        <v>0.2</v>
      </c>
      <c r="DA21" s="108">
        <v>0.19600000000000001</v>
      </c>
    </row>
    <row r="22" spans="2:105" ht="31.15" customHeight="1">
      <c r="B22" s="109" t="s">
        <v>141</v>
      </c>
      <c r="C22" s="104">
        <v>9.5000000000000001E-2</v>
      </c>
      <c r="D22" s="104">
        <v>9.5000000000000001E-2</v>
      </c>
      <c r="E22" s="104">
        <v>8.4000000000000005E-2</v>
      </c>
      <c r="F22" s="104">
        <v>4.5999999999999999E-2</v>
      </c>
      <c r="G22" s="104">
        <v>3.5000000000000003E-2</v>
      </c>
      <c r="H22" s="104">
        <v>3.5000000000000003E-2</v>
      </c>
      <c r="I22" s="104">
        <v>3.1E-2</v>
      </c>
      <c r="J22" s="104">
        <v>2.8000000000000001E-2</v>
      </c>
      <c r="K22" s="104">
        <v>2.5999999999999999E-2</v>
      </c>
      <c r="L22" s="104">
        <v>2.5000000000000001E-2</v>
      </c>
      <c r="M22" s="104">
        <v>2.4E-2</v>
      </c>
      <c r="N22" s="104">
        <v>2.5000000000000001E-2</v>
      </c>
      <c r="O22" s="104">
        <v>2.3E-2</v>
      </c>
      <c r="P22" s="104">
        <v>2.3E-2</v>
      </c>
      <c r="Q22" s="104">
        <v>2.3E-2</v>
      </c>
      <c r="R22" s="104">
        <v>2.4E-2</v>
      </c>
      <c r="S22" s="104">
        <v>2.5000000000000001E-2</v>
      </c>
      <c r="T22" s="104">
        <v>2.8000000000000001E-2</v>
      </c>
      <c r="U22" s="104">
        <v>2.8000000000000001E-2</v>
      </c>
      <c r="V22" s="104">
        <v>2.7E-2</v>
      </c>
      <c r="W22" s="104">
        <v>2.5000000000000001E-2</v>
      </c>
      <c r="X22" s="104">
        <v>2.8000000000000001E-2</v>
      </c>
      <c r="Y22" s="104">
        <v>2.9000000000000001E-2</v>
      </c>
      <c r="Z22" s="104">
        <v>3.5999999999999997E-2</v>
      </c>
      <c r="AA22" s="104">
        <v>2.9000000000000001E-2</v>
      </c>
      <c r="AB22" s="104">
        <v>3.3000000000000002E-2</v>
      </c>
      <c r="AC22" s="104">
        <v>3.5999999999999997E-2</v>
      </c>
      <c r="AD22" s="104">
        <v>4.3999999999999997E-2</v>
      </c>
      <c r="AE22" s="104">
        <v>4.8000000000000001E-2</v>
      </c>
      <c r="AF22" s="104">
        <v>4.8000000000000001E-2</v>
      </c>
      <c r="AG22" s="104">
        <v>5.3999999999999999E-2</v>
      </c>
      <c r="AH22" s="104">
        <v>5.3999999999999999E-2</v>
      </c>
      <c r="AI22" s="104">
        <v>6.2E-2</v>
      </c>
      <c r="AJ22" s="104">
        <v>6.2E-2</v>
      </c>
      <c r="AK22" s="104">
        <v>6.7000000000000004E-2</v>
      </c>
      <c r="AL22" s="104">
        <v>6.7000000000000004E-2</v>
      </c>
      <c r="AM22" s="104">
        <v>0.06</v>
      </c>
      <c r="AN22" s="104">
        <v>0.06</v>
      </c>
      <c r="AO22" s="104">
        <v>6.2E-2</v>
      </c>
      <c r="AP22" s="104">
        <v>6.2E-2</v>
      </c>
      <c r="AQ22" s="104">
        <v>6.4000000000000001E-2</v>
      </c>
      <c r="AR22" s="104">
        <v>6.4000000000000001E-2</v>
      </c>
      <c r="AS22" s="104">
        <v>6.4000000000000001E-2</v>
      </c>
      <c r="AT22" s="104">
        <v>6.4000000000000001E-2</v>
      </c>
      <c r="AU22" s="104">
        <v>5.2999999999999999E-2</v>
      </c>
      <c r="AV22" s="104">
        <v>5.2999999999999999E-2</v>
      </c>
      <c r="AW22" s="104">
        <v>5.4087626432860102E-2</v>
      </c>
      <c r="AX22" s="104">
        <v>5.3999999999999999E-2</v>
      </c>
      <c r="AY22" s="104">
        <v>5.3999999999999999E-2</v>
      </c>
      <c r="AZ22" s="104">
        <v>5.1592133103732625E-2</v>
      </c>
      <c r="BA22" s="104">
        <v>5.2412402487363063E-2</v>
      </c>
      <c r="BB22" s="104">
        <v>5.1907692651774376E-2</v>
      </c>
      <c r="BC22" s="104">
        <v>4.7059958632048066E-2</v>
      </c>
      <c r="BD22" s="104">
        <v>4.5942959416362499E-2</v>
      </c>
      <c r="BE22" s="104">
        <v>4.5999999999999999E-2</v>
      </c>
      <c r="BF22" s="104">
        <v>4.4999999999999998E-2</v>
      </c>
      <c r="BG22" s="104">
        <v>4.5999999999999999E-2</v>
      </c>
      <c r="BH22" s="104">
        <v>4.2799999999999998E-2</v>
      </c>
      <c r="BI22" s="104">
        <v>4.2299999999999997E-2</v>
      </c>
      <c r="BJ22" s="104">
        <v>4.1000000000000002E-2</v>
      </c>
      <c r="BK22" s="104">
        <v>3.7999999999999999E-2</v>
      </c>
      <c r="BL22" s="104">
        <v>0.04</v>
      </c>
      <c r="BM22" s="104">
        <v>3.8444088880333745E-2</v>
      </c>
      <c r="BN22" s="104">
        <v>3.5999999999999997E-2</v>
      </c>
      <c r="BO22" s="104">
        <v>3.3000000000000002E-2</v>
      </c>
      <c r="BP22" s="104">
        <v>3.2000000000000001E-2</v>
      </c>
      <c r="BQ22" s="104">
        <v>2.6840821105873103E-2</v>
      </c>
      <c r="BR22" s="104">
        <v>2.3E-2</v>
      </c>
      <c r="BS22" s="104">
        <v>2.1999999999999999E-2</v>
      </c>
      <c r="BT22" s="104">
        <v>2.1000000000000001E-2</v>
      </c>
      <c r="BU22" s="104">
        <v>0.02</v>
      </c>
      <c r="BV22" s="104">
        <v>2.1000000000000001E-2</v>
      </c>
      <c r="BW22" s="104">
        <v>1.9E-2</v>
      </c>
      <c r="BX22" s="104">
        <v>1.7999999999999999E-2</v>
      </c>
      <c r="BY22" s="104">
        <v>1.7999999999999999E-2</v>
      </c>
      <c r="BZ22" s="104">
        <v>1.7999999999999999E-2</v>
      </c>
      <c r="CA22" s="104">
        <v>1.7000000000000001E-2</v>
      </c>
      <c r="CB22" s="104">
        <v>1.7999999999999999E-2</v>
      </c>
      <c r="CC22" s="104">
        <v>1.7999999999999999E-2</v>
      </c>
      <c r="CD22" s="104">
        <v>1.9E-2</v>
      </c>
      <c r="CE22" s="104">
        <v>1.9E-2</v>
      </c>
      <c r="CF22" s="104">
        <v>2.1999999999999999E-2</v>
      </c>
      <c r="CG22" s="104">
        <v>2.3E-2</v>
      </c>
      <c r="CH22" s="104">
        <v>2.1000000000000001E-2</v>
      </c>
      <c r="CI22" s="104">
        <v>2.1000000000000001E-2</v>
      </c>
      <c r="CJ22" s="104">
        <v>2.1000000000000001E-2</v>
      </c>
      <c r="CK22" s="104">
        <v>2.1000000000000001E-2</v>
      </c>
      <c r="CL22" s="104">
        <v>1.9E-2</v>
      </c>
      <c r="CM22" s="104">
        <v>1.9E-2</v>
      </c>
      <c r="CN22" s="104">
        <v>1.9E-2</v>
      </c>
      <c r="CO22" s="104">
        <v>1.9E-2</v>
      </c>
      <c r="CP22" s="104">
        <v>1.7999999999999999E-2</v>
      </c>
      <c r="CQ22" s="104">
        <v>1.7999999999999999E-2</v>
      </c>
      <c r="CR22" s="104">
        <v>1.7999999999999999E-2</v>
      </c>
      <c r="CS22" s="104">
        <v>1.7999999999999999E-2</v>
      </c>
      <c r="CT22" s="104">
        <v>1.7999999999999999E-2</v>
      </c>
      <c r="CU22" s="104">
        <v>1.7999999999999999E-2</v>
      </c>
      <c r="CV22" s="104">
        <v>1.7999999999999999E-2</v>
      </c>
      <c r="CW22" s="104">
        <v>1.7999999999999999E-2</v>
      </c>
      <c r="CX22" s="104">
        <v>1.7000000000000001E-2</v>
      </c>
      <c r="CY22" s="104">
        <v>1.6E-2</v>
      </c>
      <c r="CZ22" s="104">
        <v>1.6E-2</v>
      </c>
      <c r="DA22" s="104">
        <v>1.4999999999999999E-2</v>
      </c>
    </row>
    <row r="24" spans="2:105">
      <c r="B24" s="92" t="s">
        <v>116</v>
      </c>
    </row>
    <row r="25" spans="2:105">
      <c r="B25" s="93" t="s">
        <v>128</v>
      </c>
    </row>
    <row r="26" spans="2:105">
      <c r="B26" s="92" t="s">
        <v>115</v>
      </c>
      <c r="BC26" s="13"/>
    </row>
    <row r="27" spans="2:105">
      <c r="B27" s="92" t="s">
        <v>129</v>
      </c>
      <c r="BC27" s="13"/>
    </row>
    <row r="28" spans="2:105">
      <c r="B28" s="92"/>
      <c r="BC28" s="13"/>
    </row>
    <row r="29" spans="2:105">
      <c r="B29" s="90" t="s">
        <v>138</v>
      </c>
    </row>
    <row r="30" spans="2:105">
      <c r="B30" s="91" t="s">
        <v>23</v>
      </c>
    </row>
    <row r="32" spans="2:105">
      <c r="B32" s="2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14"/>
  <dimension ref="A1:AH99"/>
  <sheetViews>
    <sheetView showGridLines="0" zoomScaleNormal="100" workbookViewId="0">
      <pane xSplit="1" ySplit="2" topLeftCell="AB3" activePane="bottomRight" state="frozen"/>
      <selection activeCell="CR21" sqref="CR21"/>
      <selection pane="topRight" activeCell="CR21" sqref="CR21"/>
      <selection pane="bottomLeft" activeCell="CR21" sqref="CR21"/>
      <selection pane="bottomRight"/>
    </sheetView>
  </sheetViews>
  <sheetFormatPr defaultColWidth="9.28515625" defaultRowHeight="12.75"/>
  <cols>
    <col min="1" max="1" width="68.28515625" style="14" customWidth="1"/>
    <col min="2" max="4" width="13.5703125" style="14" hidden="1" customWidth="1"/>
    <col min="5" max="5" width="12.42578125" style="14" hidden="1" customWidth="1"/>
    <col min="6" max="8" width="13.42578125" style="14" hidden="1" customWidth="1"/>
    <col min="9" max="9" width="13.28515625" style="14" hidden="1" customWidth="1"/>
    <col min="10" max="10" width="11.28515625" style="14" hidden="1" customWidth="1"/>
    <col min="11" max="11" width="11.42578125" style="14" hidden="1" customWidth="1"/>
    <col min="12" max="12" width="11.28515625" style="14" hidden="1" customWidth="1"/>
    <col min="13" max="16" width="11.42578125" style="14" hidden="1" customWidth="1"/>
    <col min="17" max="17" width="11.5703125" style="14" hidden="1" customWidth="1"/>
    <col min="18" max="29" width="11.7109375" style="14" customWidth="1"/>
    <col min="30" max="32" width="9.85546875" style="14" customWidth="1"/>
    <col min="33" max="33" width="9.28515625" style="14"/>
    <col min="34" max="34" width="9.7109375" style="14" customWidth="1"/>
    <col min="35" max="16384" width="9.28515625" style="14"/>
  </cols>
  <sheetData>
    <row r="1" spans="1:34" ht="13.5" thickBot="1"/>
    <row r="2" spans="1:34" ht="20.25" customHeight="1" thickBot="1">
      <c r="A2" s="111" t="s">
        <v>87</v>
      </c>
      <c r="B2" s="122">
        <v>43190</v>
      </c>
      <c r="C2" s="122">
        <v>43281</v>
      </c>
      <c r="D2" s="122">
        <v>43373</v>
      </c>
      <c r="E2" s="122">
        <v>43465</v>
      </c>
      <c r="F2" s="122">
        <v>43555</v>
      </c>
      <c r="G2" s="122">
        <v>43646</v>
      </c>
      <c r="H2" s="122">
        <v>43738</v>
      </c>
      <c r="I2" s="122">
        <v>43830</v>
      </c>
      <c r="J2" s="122">
        <v>43921</v>
      </c>
      <c r="K2" s="122">
        <v>44012</v>
      </c>
      <c r="L2" s="122">
        <v>44104</v>
      </c>
      <c r="M2" s="122">
        <v>44196</v>
      </c>
      <c r="N2" s="122">
        <v>44286</v>
      </c>
      <c r="O2" s="122">
        <v>44377</v>
      </c>
      <c r="P2" s="122">
        <v>44469</v>
      </c>
      <c r="Q2" s="122">
        <v>44561</v>
      </c>
      <c r="R2" s="122">
        <v>44651</v>
      </c>
      <c r="S2" s="122">
        <v>44742</v>
      </c>
      <c r="T2" s="122">
        <v>44834</v>
      </c>
      <c r="U2" s="122">
        <v>44926</v>
      </c>
      <c r="V2" s="122">
        <v>45016</v>
      </c>
      <c r="W2" s="122">
        <v>45107</v>
      </c>
      <c r="X2" s="122">
        <v>45199</v>
      </c>
      <c r="Y2" s="122">
        <v>45291</v>
      </c>
      <c r="Z2" s="122">
        <v>45382</v>
      </c>
      <c r="AA2" s="122">
        <v>45473</v>
      </c>
      <c r="AB2" s="122">
        <v>45565</v>
      </c>
      <c r="AC2" s="122">
        <v>45657</v>
      </c>
      <c r="AD2" s="122">
        <v>45747</v>
      </c>
      <c r="AE2" s="122">
        <v>45838</v>
      </c>
      <c r="AF2" s="122">
        <v>45930</v>
      </c>
      <c r="AG2" s="122">
        <v>46022</v>
      </c>
      <c r="AH2" s="122">
        <v>46112</v>
      </c>
    </row>
    <row r="3" spans="1:34" ht="20.25" customHeight="1">
      <c r="A3" s="112" t="s">
        <v>8</v>
      </c>
      <c r="B3" s="114">
        <v>6547.5121740000004</v>
      </c>
      <c r="C3" s="114">
        <v>13143.746300999999</v>
      </c>
      <c r="D3" s="114">
        <v>20185</v>
      </c>
      <c r="E3" s="114">
        <v>27821</v>
      </c>
      <c r="F3" s="114">
        <v>7288</v>
      </c>
      <c r="G3" s="114">
        <v>14657</v>
      </c>
      <c r="H3" s="114">
        <v>22240</v>
      </c>
      <c r="I3" s="114">
        <v>30261</v>
      </c>
      <c r="J3" s="114">
        <v>7785</v>
      </c>
      <c r="K3" s="114">
        <v>14688</v>
      </c>
      <c r="L3" s="114">
        <v>21797</v>
      </c>
      <c r="M3" s="114">
        <v>29099</v>
      </c>
      <c r="N3" s="114">
        <v>7266</v>
      </c>
      <c r="O3" s="114">
        <v>14531</v>
      </c>
      <c r="P3" s="114">
        <v>22264</v>
      </c>
      <c r="Q3" s="114">
        <v>31083</v>
      </c>
      <c r="R3" s="114">
        <v>9266</v>
      </c>
      <c r="S3" s="114">
        <v>18460</v>
      </c>
      <c r="T3" s="114">
        <v>27603</v>
      </c>
      <c r="U3" s="114">
        <v>36719</v>
      </c>
      <c r="V3" s="114">
        <v>8159</v>
      </c>
      <c r="W3" s="114">
        <v>16663</v>
      </c>
      <c r="X3" s="114">
        <v>25418</v>
      </c>
      <c r="Y3" s="114">
        <v>34583</v>
      </c>
      <c r="Z3" s="114">
        <v>9602</v>
      </c>
      <c r="AA3" s="114">
        <v>19030</v>
      </c>
      <c r="AB3" s="114">
        <v>29413</v>
      </c>
      <c r="AC3" s="114">
        <v>39811</v>
      </c>
      <c r="AD3" s="114">
        <v>10138</v>
      </c>
      <c r="AE3" s="114">
        <v>20601</v>
      </c>
      <c r="AF3" s="114">
        <v>31235</v>
      </c>
      <c r="AG3" s="114">
        <v>42108</v>
      </c>
      <c r="AH3" s="114">
        <v>10723</v>
      </c>
    </row>
    <row r="4" spans="1:34" ht="20.25" customHeight="1">
      <c r="A4" s="113" t="s">
        <v>95</v>
      </c>
      <c r="B4" s="115">
        <v>2134.1984960000004</v>
      </c>
      <c r="C4" s="115">
        <v>4286.8002810000007</v>
      </c>
      <c r="D4" s="115">
        <v>6362</v>
      </c>
      <c r="E4" s="115">
        <v>8540</v>
      </c>
      <c r="F4" s="115">
        <v>2193</v>
      </c>
      <c r="G4" s="115">
        <v>4450</v>
      </c>
      <c r="H4" s="115">
        <v>6625</v>
      </c>
      <c r="I4" s="115">
        <v>8591</v>
      </c>
      <c r="J4" s="115">
        <v>2108</v>
      </c>
      <c r="K4" s="115">
        <v>3977</v>
      </c>
      <c r="L4" s="115">
        <v>6062</v>
      </c>
      <c r="M4" s="115">
        <v>8243</v>
      </c>
      <c r="N4" s="115">
        <v>2284</v>
      </c>
      <c r="O4" s="115">
        <v>4540</v>
      </c>
      <c r="P4" s="115">
        <v>6892</v>
      </c>
      <c r="Q4" s="115">
        <v>9186</v>
      </c>
      <c r="R4" s="115">
        <v>2517</v>
      </c>
      <c r="S4" s="115">
        <v>4843</v>
      </c>
      <c r="T4" s="115">
        <v>7115</v>
      </c>
      <c r="U4" s="115">
        <v>9504</v>
      </c>
      <c r="V4" s="115">
        <v>2537</v>
      </c>
      <c r="W4" s="115">
        <v>5145</v>
      </c>
      <c r="X4" s="115">
        <v>7755</v>
      </c>
      <c r="Y4" s="115">
        <v>10894</v>
      </c>
      <c r="Z4" s="115">
        <v>2960</v>
      </c>
      <c r="AA4" s="115">
        <v>6124</v>
      </c>
      <c r="AB4" s="115">
        <v>9254</v>
      </c>
      <c r="AC4" s="115">
        <v>12778</v>
      </c>
      <c r="AD4" s="115">
        <v>3207</v>
      </c>
      <c r="AE4" s="115">
        <v>6277</v>
      </c>
      <c r="AF4" s="115">
        <v>9509</v>
      </c>
      <c r="AG4" s="114">
        <v>13170</v>
      </c>
      <c r="AH4" s="114">
        <v>3396</v>
      </c>
    </row>
    <row r="5" spans="1:34" ht="20.25" customHeight="1">
      <c r="A5" s="113" t="s">
        <v>25</v>
      </c>
      <c r="B5" s="115">
        <v>4.3677280000000005</v>
      </c>
      <c r="C5" s="115">
        <v>49.959879000000001</v>
      </c>
      <c r="D5" s="115">
        <v>59</v>
      </c>
      <c r="E5" s="115">
        <v>78</v>
      </c>
      <c r="F5" s="115">
        <v>3</v>
      </c>
      <c r="G5" s="115">
        <v>48</v>
      </c>
      <c r="H5" s="115">
        <v>62</v>
      </c>
      <c r="I5" s="115">
        <v>65</v>
      </c>
      <c r="J5" s="115">
        <v>0</v>
      </c>
      <c r="K5" s="115">
        <v>9</v>
      </c>
      <c r="L5" s="115">
        <v>13</v>
      </c>
      <c r="M5" s="115">
        <v>57</v>
      </c>
      <c r="N5" s="115">
        <v>0</v>
      </c>
      <c r="O5" s="115">
        <v>164</v>
      </c>
      <c r="P5" s="115">
        <v>167</v>
      </c>
      <c r="Q5" s="115">
        <v>167</v>
      </c>
      <c r="R5" s="115">
        <v>0</v>
      </c>
      <c r="S5" s="115">
        <v>65</v>
      </c>
      <c r="T5" s="115">
        <v>67</v>
      </c>
      <c r="U5" s="115">
        <v>68</v>
      </c>
      <c r="V5" s="115">
        <v>0</v>
      </c>
      <c r="W5" s="115">
        <v>39</v>
      </c>
      <c r="X5" s="115">
        <v>43</v>
      </c>
      <c r="Y5" s="115">
        <v>42</v>
      </c>
      <c r="Z5" s="115">
        <v>0</v>
      </c>
      <c r="AA5" s="115">
        <v>48</v>
      </c>
      <c r="AB5" s="115">
        <v>59</v>
      </c>
      <c r="AC5" s="115">
        <v>59</v>
      </c>
      <c r="AD5" s="115">
        <v>0</v>
      </c>
      <c r="AE5" s="115">
        <v>37</v>
      </c>
      <c r="AF5" s="115">
        <v>41</v>
      </c>
      <c r="AG5" s="114">
        <v>47</v>
      </c>
      <c r="AH5" s="114">
        <v>0</v>
      </c>
    </row>
    <row r="6" spans="1:34" ht="20.25" customHeight="1">
      <c r="A6" s="113" t="s">
        <v>91</v>
      </c>
      <c r="B6" s="115">
        <v>726.59865200000002</v>
      </c>
      <c r="C6" s="115">
        <v>1041.191728</v>
      </c>
      <c r="D6" s="115">
        <v>1653</v>
      </c>
      <c r="E6" s="115">
        <v>2150</v>
      </c>
      <c r="F6" s="115">
        <v>637</v>
      </c>
      <c r="G6" s="115">
        <v>1492</v>
      </c>
      <c r="H6" s="115">
        <v>2021</v>
      </c>
      <c r="I6" s="115">
        <v>2670</v>
      </c>
      <c r="J6" s="115">
        <v>238</v>
      </c>
      <c r="K6" s="115">
        <v>793</v>
      </c>
      <c r="L6" s="115">
        <v>1401</v>
      </c>
      <c r="M6" s="115">
        <v>1906</v>
      </c>
      <c r="N6" s="115">
        <v>506</v>
      </c>
      <c r="O6" s="115">
        <v>1124</v>
      </c>
      <c r="P6" s="115">
        <v>1623</v>
      </c>
      <c r="Q6" s="115">
        <v>1732</v>
      </c>
      <c r="R6" s="115">
        <v>994</v>
      </c>
      <c r="S6" s="115">
        <v>1776</v>
      </c>
      <c r="T6" s="115">
        <v>2841</v>
      </c>
      <c r="U6" s="115">
        <v>3739</v>
      </c>
      <c r="V6" s="115">
        <v>1072</v>
      </c>
      <c r="W6" s="115">
        <v>2561</v>
      </c>
      <c r="X6" s="115">
        <v>3450</v>
      </c>
      <c r="Y6" s="115">
        <v>4178</v>
      </c>
      <c r="Z6" s="115">
        <v>948</v>
      </c>
      <c r="AA6" s="115">
        <v>1782</v>
      </c>
      <c r="AB6" s="115">
        <v>2746</v>
      </c>
      <c r="AC6" s="115">
        <v>3413</v>
      </c>
      <c r="AD6" s="115">
        <v>747</v>
      </c>
      <c r="AE6" s="115">
        <v>1528</v>
      </c>
      <c r="AF6" s="115">
        <v>2393</v>
      </c>
      <c r="AG6" s="115">
        <v>3236</v>
      </c>
      <c r="AH6" s="115">
        <v>1197</v>
      </c>
    </row>
    <row r="7" spans="1:34" ht="20.25" customHeight="1">
      <c r="A7" s="113" t="s">
        <v>96</v>
      </c>
      <c r="B7" s="115">
        <v>7.1306780000000005</v>
      </c>
      <c r="C7" s="115">
        <v>-0.28487099999999999</v>
      </c>
      <c r="D7" s="115">
        <v>278</v>
      </c>
      <c r="E7" s="115">
        <v>224</v>
      </c>
      <c r="F7" s="115">
        <v>18</v>
      </c>
      <c r="G7" s="115">
        <v>55</v>
      </c>
      <c r="H7" s="115">
        <v>-33</v>
      </c>
      <c r="I7" s="115">
        <v>-9</v>
      </c>
      <c r="J7" s="115">
        <v>117</v>
      </c>
      <c r="K7" s="115">
        <v>391</v>
      </c>
      <c r="L7" s="115">
        <v>610</v>
      </c>
      <c r="M7" s="115">
        <v>598</v>
      </c>
      <c r="N7" s="115">
        <v>8</v>
      </c>
      <c r="O7" s="115">
        <v>-151</v>
      </c>
      <c r="P7" s="115">
        <v>-140</v>
      </c>
      <c r="Q7" s="115">
        <v>-103</v>
      </c>
      <c r="R7" s="115">
        <v>41</v>
      </c>
      <c r="S7" s="115">
        <v>82</v>
      </c>
      <c r="T7" s="115">
        <v>-93</v>
      </c>
      <c r="U7" s="115">
        <v>-438</v>
      </c>
      <c r="V7" s="115">
        <v>-313</v>
      </c>
      <c r="W7" s="115">
        <v>-779</v>
      </c>
      <c r="X7" s="115">
        <v>-1317</v>
      </c>
      <c r="Y7" s="115">
        <v>-1764</v>
      </c>
      <c r="Z7" s="115">
        <v>-60</v>
      </c>
      <c r="AA7" s="115">
        <v>-111</v>
      </c>
      <c r="AB7" s="115">
        <v>-58</v>
      </c>
      <c r="AC7" s="115">
        <v>-48</v>
      </c>
      <c r="AD7" s="115">
        <v>-1</v>
      </c>
      <c r="AE7" s="115">
        <v>-21</v>
      </c>
      <c r="AF7" s="115">
        <v>-28</v>
      </c>
      <c r="AG7" s="115">
        <v>53</v>
      </c>
      <c r="AH7" s="115">
        <v>-15</v>
      </c>
    </row>
    <row r="8" spans="1:34" ht="20.25" customHeight="1">
      <c r="A8" s="113" t="s">
        <v>94</v>
      </c>
      <c r="B8" s="115">
        <v>-3.5448470000000003</v>
      </c>
      <c r="C8" s="115">
        <v>2.367642</v>
      </c>
      <c r="D8" s="115">
        <v>24</v>
      </c>
      <c r="E8" s="115">
        <v>54</v>
      </c>
      <c r="F8" s="115">
        <v>14</v>
      </c>
      <c r="G8" s="115">
        <v>42</v>
      </c>
      <c r="H8" s="115">
        <v>36</v>
      </c>
      <c r="I8" s="115">
        <v>105</v>
      </c>
      <c r="J8" s="115">
        <v>17</v>
      </c>
      <c r="K8" s="115">
        <v>1</v>
      </c>
      <c r="L8" s="115">
        <v>29</v>
      </c>
      <c r="M8" s="115">
        <v>31</v>
      </c>
      <c r="N8" s="115">
        <v>-22</v>
      </c>
      <c r="O8" s="115">
        <v>-30</v>
      </c>
      <c r="P8" s="115">
        <v>22</v>
      </c>
      <c r="Q8" s="115">
        <v>76</v>
      </c>
      <c r="R8" s="115">
        <v>-41</v>
      </c>
      <c r="S8" s="115">
        <v>23</v>
      </c>
      <c r="T8" s="115">
        <v>65</v>
      </c>
      <c r="U8" s="115">
        <v>73</v>
      </c>
      <c r="V8" s="115">
        <v>16</v>
      </c>
      <c r="W8" s="115">
        <v>81</v>
      </c>
      <c r="X8" s="115">
        <v>135</v>
      </c>
      <c r="Y8" s="115">
        <v>208</v>
      </c>
      <c r="Z8" s="115">
        <v>14</v>
      </c>
      <c r="AA8" s="115">
        <v>71</v>
      </c>
      <c r="AB8" s="115">
        <v>114</v>
      </c>
      <c r="AC8" s="115">
        <v>241</v>
      </c>
      <c r="AD8" s="115">
        <v>34</v>
      </c>
      <c r="AE8" s="115">
        <v>92</v>
      </c>
      <c r="AF8" s="115">
        <v>168</v>
      </c>
      <c r="AG8" s="115">
        <v>273</v>
      </c>
      <c r="AH8" s="115">
        <v>17</v>
      </c>
    </row>
    <row r="9" spans="1:34" ht="20.25" customHeight="1" thickBot="1">
      <c r="A9" s="113" t="s">
        <v>26</v>
      </c>
      <c r="B9" s="115">
        <v>56.035034000000003</v>
      </c>
      <c r="C9" s="115">
        <v>110.999993</v>
      </c>
      <c r="D9" s="115">
        <v>168</v>
      </c>
      <c r="E9" s="115">
        <v>221</v>
      </c>
      <c r="F9" s="115">
        <v>54</v>
      </c>
      <c r="G9" s="115">
        <v>109</v>
      </c>
      <c r="H9" s="115">
        <v>163</v>
      </c>
      <c r="I9" s="115">
        <v>216</v>
      </c>
      <c r="J9" s="115">
        <v>54</v>
      </c>
      <c r="K9" s="115">
        <v>109</v>
      </c>
      <c r="L9" s="115">
        <v>165</v>
      </c>
      <c r="M9" s="115">
        <v>213</v>
      </c>
      <c r="N9" s="115">
        <v>53</v>
      </c>
      <c r="O9" s="115">
        <v>121</v>
      </c>
      <c r="P9" s="115">
        <v>160</v>
      </c>
      <c r="Q9" s="115">
        <v>213</v>
      </c>
      <c r="R9" s="115">
        <v>53</v>
      </c>
      <c r="S9" s="115">
        <v>120</v>
      </c>
      <c r="T9" s="115">
        <v>158</v>
      </c>
      <c r="U9" s="115">
        <v>210</v>
      </c>
      <c r="V9" s="115">
        <v>55</v>
      </c>
      <c r="W9" s="115">
        <v>111</v>
      </c>
      <c r="X9" s="115">
        <v>167</v>
      </c>
      <c r="Y9" s="115">
        <v>224</v>
      </c>
      <c r="Z9" s="115">
        <v>58</v>
      </c>
      <c r="AA9" s="115">
        <v>116</v>
      </c>
      <c r="AB9" s="115">
        <v>174</v>
      </c>
      <c r="AC9" s="115">
        <v>232</v>
      </c>
      <c r="AD9" s="115">
        <v>61</v>
      </c>
      <c r="AE9" s="115">
        <v>128</v>
      </c>
      <c r="AF9" s="115">
        <v>198</v>
      </c>
      <c r="AG9" s="115">
        <v>273</v>
      </c>
      <c r="AH9" s="115">
        <v>80</v>
      </c>
    </row>
    <row r="10" spans="1:34" ht="20.25" customHeight="1" thickBot="1">
      <c r="A10" s="116" t="s">
        <v>35</v>
      </c>
      <c r="B10" s="117">
        <v>9472.297915000001</v>
      </c>
      <c r="C10" s="117">
        <v>18634.780953000001</v>
      </c>
      <c r="D10" s="117">
        <v>28729</v>
      </c>
      <c r="E10" s="117">
        <v>39088</v>
      </c>
      <c r="F10" s="117">
        <v>10207</v>
      </c>
      <c r="G10" s="117">
        <v>20853</v>
      </c>
      <c r="H10" s="117">
        <v>31114</v>
      </c>
      <c r="I10" s="117">
        <v>41899</v>
      </c>
      <c r="J10" s="117">
        <v>10319</v>
      </c>
      <c r="K10" s="117">
        <v>19968</v>
      </c>
      <c r="L10" s="117">
        <v>30077</v>
      </c>
      <c r="M10" s="117">
        <v>40147</v>
      </c>
      <c r="N10" s="117">
        <v>10095</v>
      </c>
      <c r="O10" s="117">
        <v>20299</v>
      </c>
      <c r="P10" s="117">
        <v>30988</v>
      </c>
      <c r="Q10" s="117">
        <v>42354</v>
      </c>
      <c r="R10" s="117">
        <v>12830</v>
      </c>
      <c r="S10" s="117">
        <v>25369</v>
      </c>
      <c r="T10" s="117">
        <v>37756</v>
      </c>
      <c r="U10" s="117">
        <v>49875</v>
      </c>
      <c r="V10" s="117">
        <v>11526</v>
      </c>
      <c r="W10" s="117">
        <v>23821</v>
      </c>
      <c r="X10" s="117">
        <v>35651</v>
      </c>
      <c r="Y10" s="117">
        <v>48365</v>
      </c>
      <c r="Z10" s="117">
        <v>13522</v>
      </c>
      <c r="AA10" s="117">
        <v>27060</v>
      </c>
      <c r="AB10" s="117">
        <v>41702</v>
      </c>
      <c r="AC10" s="117">
        <v>56486</v>
      </c>
      <c r="AD10" s="117">
        <v>14186</v>
      </c>
      <c r="AE10" s="117">
        <v>28642</v>
      </c>
      <c r="AF10" s="117">
        <v>43516</v>
      </c>
      <c r="AG10" s="117">
        <v>59160</v>
      </c>
      <c r="AH10" s="117">
        <v>15398</v>
      </c>
    </row>
    <row r="11" spans="1:34" ht="20.25" customHeight="1" thickBot="1">
      <c r="A11" s="116" t="s">
        <v>98</v>
      </c>
      <c r="B11" s="117">
        <v>-4635.8688300000003</v>
      </c>
      <c r="C11" s="117">
        <v>-9159.9667759999993</v>
      </c>
      <c r="D11" s="117">
        <v>-13705</v>
      </c>
      <c r="E11" s="117">
        <v>-18327</v>
      </c>
      <c r="F11" s="117">
        <v>-4829</v>
      </c>
      <c r="G11" s="117">
        <v>-9534</v>
      </c>
      <c r="H11" s="117">
        <v>-14318</v>
      </c>
      <c r="I11" s="117">
        <v>-19352</v>
      </c>
      <c r="J11" s="117">
        <v>-5006</v>
      </c>
      <c r="K11" s="117">
        <v>-9793</v>
      </c>
      <c r="L11" s="117">
        <v>-14501</v>
      </c>
      <c r="M11" s="117">
        <v>-19110</v>
      </c>
      <c r="N11" s="117">
        <v>-5144</v>
      </c>
      <c r="O11" s="117">
        <v>-9979</v>
      </c>
      <c r="P11" s="117">
        <v>-14815</v>
      </c>
      <c r="Q11" s="117">
        <v>-20398</v>
      </c>
      <c r="R11" s="117">
        <v>-5333</v>
      </c>
      <c r="S11" s="117">
        <v>-10540</v>
      </c>
      <c r="T11" s="117">
        <v>-15825</v>
      </c>
      <c r="U11" s="117">
        <v>-21335</v>
      </c>
      <c r="V11" s="117">
        <v>-5874</v>
      </c>
      <c r="W11" s="117">
        <v>-11554</v>
      </c>
      <c r="X11" s="117">
        <v>-17007</v>
      </c>
      <c r="Y11" s="117">
        <v>-23144</v>
      </c>
      <c r="Z11" s="117">
        <v>-5975</v>
      </c>
      <c r="AA11" s="117">
        <v>-11857</v>
      </c>
      <c r="AB11" s="117">
        <v>-17665</v>
      </c>
      <c r="AC11" s="117">
        <v>-24304</v>
      </c>
      <c r="AD11" s="117">
        <v>-6343</v>
      </c>
      <c r="AE11" s="117">
        <v>-12554</v>
      </c>
      <c r="AF11" s="117">
        <v>-18788</v>
      </c>
      <c r="AG11" s="117">
        <v>-25276</v>
      </c>
      <c r="AH11" s="117">
        <v>-6554</v>
      </c>
    </row>
    <row r="12" spans="1:34" ht="20.25" customHeight="1" thickBot="1">
      <c r="A12" s="116" t="s">
        <v>99</v>
      </c>
      <c r="B12" s="117">
        <v>4836.4290850000007</v>
      </c>
      <c r="C12" s="117">
        <v>9474.814177000002</v>
      </c>
      <c r="D12" s="117">
        <v>15024</v>
      </c>
      <c r="E12" s="117">
        <v>20762</v>
      </c>
      <c r="F12" s="117">
        <v>5378</v>
      </c>
      <c r="G12" s="117">
        <v>11319</v>
      </c>
      <c r="H12" s="117">
        <v>16796</v>
      </c>
      <c r="I12" s="117">
        <v>22547</v>
      </c>
      <c r="J12" s="117">
        <v>5313</v>
      </c>
      <c r="K12" s="117">
        <v>10175</v>
      </c>
      <c r="L12" s="117">
        <v>15576</v>
      </c>
      <c r="M12" s="117">
        <v>21037</v>
      </c>
      <c r="N12" s="117">
        <v>4951</v>
      </c>
      <c r="O12" s="117">
        <v>10320</v>
      </c>
      <c r="P12" s="117">
        <v>16172.5</v>
      </c>
      <c r="Q12" s="117">
        <v>21956</v>
      </c>
      <c r="R12" s="117">
        <v>7497</v>
      </c>
      <c r="S12" s="117">
        <v>14829</v>
      </c>
      <c r="T12" s="117">
        <v>21931</v>
      </c>
      <c r="U12" s="117">
        <v>28540</v>
      </c>
      <c r="V12" s="117">
        <v>5652</v>
      </c>
      <c r="W12" s="117">
        <v>12267</v>
      </c>
      <c r="X12" s="117">
        <v>18644</v>
      </c>
      <c r="Y12" s="117">
        <v>25221</v>
      </c>
      <c r="Z12" s="117">
        <v>7547</v>
      </c>
      <c r="AA12" s="117">
        <v>15203</v>
      </c>
      <c r="AB12" s="117">
        <v>24037</v>
      </c>
      <c r="AC12" s="117">
        <v>32182</v>
      </c>
      <c r="AD12" s="117">
        <v>7843</v>
      </c>
      <c r="AE12" s="117">
        <v>16088</v>
      </c>
      <c r="AF12" s="117">
        <v>24728</v>
      </c>
      <c r="AG12" s="117">
        <v>33884</v>
      </c>
      <c r="AH12" s="117">
        <v>8844</v>
      </c>
    </row>
    <row r="13" spans="1:34" ht="20.25" customHeight="1">
      <c r="A13" s="113" t="s">
        <v>189</v>
      </c>
      <c r="B13" s="115">
        <v>-5</v>
      </c>
      <c r="C13" s="115">
        <v>6</v>
      </c>
      <c r="D13" s="115">
        <v>16</v>
      </c>
      <c r="E13" s="115">
        <v>17</v>
      </c>
      <c r="F13" s="115">
        <v>9</v>
      </c>
      <c r="G13" s="115">
        <v>8</v>
      </c>
      <c r="H13" s="115">
        <v>7</v>
      </c>
      <c r="I13" s="115">
        <v>6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5</v>
      </c>
      <c r="Q13" s="115">
        <v>-238</v>
      </c>
      <c r="R13" s="115">
        <v>-1</v>
      </c>
      <c r="S13" s="115">
        <v>-723</v>
      </c>
      <c r="T13" s="115">
        <v>-1118</v>
      </c>
      <c r="U13" s="115">
        <v>-1221</v>
      </c>
      <c r="V13" s="115">
        <v>0</v>
      </c>
      <c r="W13" s="115">
        <v>0</v>
      </c>
      <c r="X13" s="115">
        <v>-34</v>
      </c>
      <c r="Y13" s="115">
        <v>-272</v>
      </c>
      <c r="Z13" s="115">
        <v>-2</v>
      </c>
      <c r="AA13" s="115">
        <v>-5</v>
      </c>
      <c r="AB13" s="115">
        <v>-407</v>
      </c>
      <c r="AC13" s="115">
        <v>-843</v>
      </c>
      <c r="AD13" s="115">
        <v>-144</v>
      </c>
      <c r="AE13" s="115">
        <v>-326</v>
      </c>
      <c r="AF13" s="115">
        <v>-809</v>
      </c>
      <c r="AG13" s="115">
        <v>-1345</v>
      </c>
      <c r="AH13" s="115">
        <v>0</v>
      </c>
    </row>
    <row r="14" spans="1:34" ht="25.5">
      <c r="A14" s="121" t="s">
        <v>190</v>
      </c>
      <c r="B14" s="115">
        <v>24</v>
      </c>
      <c r="C14" s="115">
        <v>24</v>
      </c>
      <c r="D14" s="115">
        <v>46</v>
      </c>
      <c r="E14" s="115">
        <v>8</v>
      </c>
      <c r="F14" s="115">
        <v>0</v>
      </c>
      <c r="G14" s="115">
        <v>0</v>
      </c>
      <c r="H14" s="115">
        <v>-28</v>
      </c>
      <c r="I14" s="115">
        <v>-28</v>
      </c>
      <c r="J14" s="115">
        <v>0</v>
      </c>
      <c r="K14" s="115">
        <v>0</v>
      </c>
      <c r="L14" s="115">
        <v>-1</v>
      </c>
      <c r="M14" s="115">
        <v>-1</v>
      </c>
      <c r="N14" s="115">
        <v>0</v>
      </c>
      <c r="O14" s="115">
        <v>0</v>
      </c>
      <c r="P14" s="115">
        <v>1</v>
      </c>
      <c r="Q14" s="115">
        <v>-4</v>
      </c>
      <c r="R14" s="115">
        <v>0</v>
      </c>
      <c r="S14" s="115">
        <v>0</v>
      </c>
      <c r="T14" s="115">
        <v>-627</v>
      </c>
      <c r="U14" s="115">
        <v>-633</v>
      </c>
      <c r="V14" s="115">
        <v>0</v>
      </c>
      <c r="W14" s="115">
        <v>0</v>
      </c>
      <c r="X14" s="115">
        <v>0</v>
      </c>
      <c r="Y14" s="115">
        <v>-2</v>
      </c>
      <c r="Z14" s="115">
        <v>-2</v>
      </c>
      <c r="AA14" s="115">
        <v>-2</v>
      </c>
      <c r="AB14" s="115">
        <v>-7</v>
      </c>
      <c r="AC14" s="115">
        <v>-7</v>
      </c>
      <c r="AD14" s="115">
        <v>-10</v>
      </c>
      <c r="AE14" s="115">
        <v>-10</v>
      </c>
      <c r="AF14" s="115">
        <v>-11</v>
      </c>
      <c r="AG14" s="115">
        <v>-91</v>
      </c>
      <c r="AH14" s="115">
        <v>0</v>
      </c>
    </row>
    <row r="15" spans="1:34" ht="20.25" customHeight="1">
      <c r="A15" s="113" t="s">
        <v>113</v>
      </c>
      <c r="B15" s="115">
        <v>740.86184700000001</v>
      </c>
      <c r="C15" s="115">
        <v>902.82582600000001</v>
      </c>
      <c r="D15" s="115">
        <v>1126</v>
      </c>
      <c r="E15" s="115">
        <v>-288</v>
      </c>
      <c r="F15" s="115">
        <v>267</v>
      </c>
      <c r="G15" s="115">
        <v>199</v>
      </c>
      <c r="H15" s="115">
        <v>152</v>
      </c>
      <c r="I15" s="115">
        <v>160</v>
      </c>
      <c r="J15" s="115">
        <v>-622</v>
      </c>
      <c r="K15" s="115">
        <v>-3577</v>
      </c>
      <c r="L15" s="115">
        <v>-4674</v>
      </c>
      <c r="M15" s="115">
        <v>-7930</v>
      </c>
      <c r="N15" s="115">
        <v>-692</v>
      </c>
      <c r="O15" s="115">
        <v>-851</v>
      </c>
      <c r="P15" s="115">
        <v>-1328</v>
      </c>
      <c r="Q15" s="115">
        <v>-1780</v>
      </c>
      <c r="R15" s="115">
        <v>-359</v>
      </c>
      <c r="S15" s="115">
        <v>676</v>
      </c>
      <c r="T15" s="115">
        <v>-112</v>
      </c>
      <c r="U15" s="115">
        <v>-636</v>
      </c>
      <c r="V15" s="115">
        <v>-231</v>
      </c>
      <c r="W15" s="115">
        <v>-303</v>
      </c>
      <c r="X15" s="115">
        <v>-466</v>
      </c>
      <c r="Y15" s="115">
        <v>-825</v>
      </c>
      <c r="Z15" s="115">
        <v>-73</v>
      </c>
      <c r="AA15" s="115">
        <v>234</v>
      </c>
      <c r="AB15" s="115">
        <v>17</v>
      </c>
      <c r="AC15" s="115">
        <v>261</v>
      </c>
      <c r="AD15" s="115">
        <v>-335</v>
      </c>
      <c r="AE15" s="115">
        <v>202</v>
      </c>
      <c r="AF15" s="115">
        <v>57</v>
      </c>
      <c r="AG15" s="115">
        <v>-447</v>
      </c>
      <c r="AH15" s="115">
        <v>37</v>
      </c>
    </row>
    <row r="16" spans="1:34" ht="20.25" customHeight="1">
      <c r="A16" s="113" t="s">
        <v>29</v>
      </c>
      <c r="B16" s="115">
        <v>-501.25408199999856</v>
      </c>
      <c r="C16" s="115">
        <v>-558.92941900000585</v>
      </c>
      <c r="D16" s="115">
        <v>-1431</v>
      </c>
      <c r="E16" s="115">
        <v>-1335</v>
      </c>
      <c r="F16" s="115">
        <v>-706</v>
      </c>
      <c r="G16" s="115">
        <v>-680</v>
      </c>
      <c r="H16" s="115">
        <v>-755</v>
      </c>
      <c r="I16" s="115">
        <v>-687</v>
      </c>
      <c r="J16" s="115">
        <v>-729</v>
      </c>
      <c r="K16" s="115">
        <v>-803</v>
      </c>
      <c r="L16" s="115">
        <v>-931</v>
      </c>
      <c r="M16" s="115">
        <v>-611</v>
      </c>
      <c r="N16" s="115">
        <v>-886</v>
      </c>
      <c r="O16" s="115">
        <v>-949</v>
      </c>
      <c r="P16" s="115">
        <v>-981</v>
      </c>
      <c r="Q16" s="115">
        <v>-1705</v>
      </c>
      <c r="R16" s="115">
        <v>-977</v>
      </c>
      <c r="S16" s="115">
        <v>-1050</v>
      </c>
      <c r="T16" s="115">
        <v>-1311</v>
      </c>
      <c r="U16" s="115">
        <v>-1669</v>
      </c>
      <c r="V16" s="115">
        <v>-858</v>
      </c>
      <c r="W16" s="115">
        <v>-743</v>
      </c>
      <c r="X16" s="115">
        <v>-658</v>
      </c>
      <c r="Y16" s="115">
        <v>-1706</v>
      </c>
      <c r="Z16" s="115">
        <v>-486</v>
      </c>
      <c r="AA16" s="115">
        <v>-262</v>
      </c>
      <c r="AB16" s="115">
        <v>24</v>
      </c>
      <c r="AC16" s="115">
        <v>247</v>
      </c>
      <c r="AD16" s="115">
        <v>-422</v>
      </c>
      <c r="AE16" s="115">
        <v>-468</v>
      </c>
      <c r="AF16" s="115">
        <v>-640</v>
      </c>
      <c r="AG16" s="115">
        <v>1710</v>
      </c>
      <c r="AH16" s="115">
        <v>-275</v>
      </c>
    </row>
    <row r="17" spans="1:34" ht="20.25" customHeight="1">
      <c r="A17" s="113" t="s">
        <v>97</v>
      </c>
      <c r="B17" s="115">
        <v>0</v>
      </c>
      <c r="C17" s="115">
        <v>0</v>
      </c>
      <c r="D17" s="115">
        <v>0</v>
      </c>
      <c r="E17" s="115">
        <v>0</v>
      </c>
      <c r="F17" s="115">
        <v>0</v>
      </c>
      <c r="G17" s="115">
        <v>0</v>
      </c>
      <c r="H17" s="115">
        <v>0</v>
      </c>
      <c r="I17" s="115">
        <v>0</v>
      </c>
      <c r="J17" s="115">
        <v>0</v>
      </c>
      <c r="K17" s="115">
        <v>0</v>
      </c>
      <c r="L17" s="115">
        <v>0</v>
      </c>
      <c r="M17" s="115">
        <v>0</v>
      </c>
      <c r="N17" s="115">
        <v>0</v>
      </c>
      <c r="O17" s="115">
        <v>0</v>
      </c>
      <c r="P17" s="115">
        <v>0</v>
      </c>
      <c r="Q17" s="115">
        <v>0</v>
      </c>
      <c r="R17" s="115">
        <v>0</v>
      </c>
      <c r="S17" s="115">
        <v>0</v>
      </c>
      <c r="T17" s="115">
        <v>0</v>
      </c>
      <c r="U17" s="115">
        <v>0</v>
      </c>
      <c r="V17" s="115">
        <v>0</v>
      </c>
      <c r="W17" s="115">
        <v>0</v>
      </c>
      <c r="X17" s="115">
        <v>0</v>
      </c>
      <c r="Y17" s="115">
        <v>0</v>
      </c>
      <c r="Z17" s="115">
        <v>0</v>
      </c>
      <c r="AA17" s="115">
        <v>0</v>
      </c>
      <c r="AB17" s="115">
        <v>0</v>
      </c>
      <c r="AC17" s="115">
        <v>0</v>
      </c>
      <c r="AD17" s="115">
        <v>0</v>
      </c>
      <c r="AE17" s="115">
        <v>0</v>
      </c>
      <c r="AF17" s="115">
        <v>0</v>
      </c>
      <c r="AG17" s="115">
        <v>0</v>
      </c>
      <c r="AH17" s="115">
        <v>0</v>
      </c>
    </row>
    <row r="18" spans="1:34" ht="20.25" customHeight="1">
      <c r="A18" s="113" t="s">
        <v>30</v>
      </c>
      <c r="B18" s="115">
        <v>5094.8990130000029</v>
      </c>
      <c r="C18" s="115">
        <v>9848.8121730000003</v>
      </c>
      <c r="D18" s="115">
        <v>14781</v>
      </c>
      <c r="E18" s="115">
        <v>19163</v>
      </c>
      <c r="F18" s="115">
        <v>4948</v>
      </c>
      <c r="G18" s="115">
        <v>10846</v>
      </c>
      <c r="H18" s="115">
        <v>16172</v>
      </c>
      <c r="I18" s="115">
        <v>21998</v>
      </c>
      <c r="J18" s="115">
        <v>3962</v>
      </c>
      <c r="K18" s="115">
        <v>5795</v>
      </c>
      <c r="L18" s="115">
        <v>9970</v>
      </c>
      <c r="M18" s="115">
        <v>12495</v>
      </c>
      <c r="N18" s="115">
        <v>3373</v>
      </c>
      <c r="O18" s="115">
        <v>8520</v>
      </c>
      <c r="P18" s="115">
        <v>13870</v>
      </c>
      <c r="Q18" s="115">
        <v>18229</v>
      </c>
      <c r="R18" s="115">
        <v>6160</v>
      </c>
      <c r="S18" s="115">
        <v>13732</v>
      </c>
      <c r="T18" s="115">
        <v>18763</v>
      </c>
      <c r="U18" s="115">
        <v>24381</v>
      </c>
      <c r="V18" s="115">
        <v>4563</v>
      </c>
      <c r="W18" s="115">
        <v>11221</v>
      </c>
      <c r="X18" s="115">
        <v>17486</v>
      </c>
      <c r="Y18" s="115">
        <v>22416</v>
      </c>
      <c r="Z18" s="115">
        <v>6984</v>
      </c>
      <c r="AA18" s="115">
        <v>15168</v>
      </c>
      <c r="AB18" s="115">
        <v>23664</v>
      </c>
      <c r="AC18" s="115">
        <v>31840</v>
      </c>
      <c r="AD18" s="115">
        <v>6932</v>
      </c>
      <c r="AE18" s="115">
        <v>15486</v>
      </c>
      <c r="AF18" s="115">
        <v>23325</v>
      </c>
      <c r="AG18" s="115">
        <v>33711</v>
      </c>
      <c r="AH18" s="115">
        <v>8606</v>
      </c>
    </row>
    <row r="19" spans="1:34" ht="20.25" customHeight="1" thickBot="1">
      <c r="A19" s="113" t="s">
        <v>22</v>
      </c>
      <c r="B19" s="115">
        <v>-1025.5800239999999</v>
      </c>
      <c r="C19" s="115">
        <v>-1992.2662539999999</v>
      </c>
      <c r="D19" s="115">
        <v>-2943</v>
      </c>
      <c r="E19" s="115">
        <v>-3801</v>
      </c>
      <c r="F19" s="115">
        <v>-1003</v>
      </c>
      <c r="G19" s="115">
        <v>-2136</v>
      </c>
      <c r="H19" s="115">
        <v>-3192</v>
      </c>
      <c r="I19" s="115">
        <v>-4229</v>
      </c>
      <c r="J19" s="115">
        <v>-796</v>
      </c>
      <c r="K19" s="115">
        <v>-1189</v>
      </c>
      <c r="L19" s="115">
        <v>-2038</v>
      </c>
      <c r="M19" s="115">
        <v>-2478</v>
      </c>
      <c r="N19" s="115">
        <v>-685</v>
      </c>
      <c r="O19" s="115">
        <v>-1925</v>
      </c>
      <c r="P19" s="115">
        <v>-3064</v>
      </c>
      <c r="Q19" s="115">
        <v>-4021</v>
      </c>
      <c r="R19" s="115">
        <v>-1210</v>
      </c>
      <c r="S19" s="115">
        <v>-2698</v>
      </c>
      <c r="T19" s="115">
        <v>-3709</v>
      </c>
      <c r="U19" s="115">
        <v>-4193</v>
      </c>
      <c r="V19" s="115">
        <v>-1260</v>
      </c>
      <c r="W19" s="115">
        <v>-1930</v>
      </c>
      <c r="X19" s="115">
        <v>-2842</v>
      </c>
      <c r="Y19" s="115">
        <v>-3736</v>
      </c>
      <c r="Z19" s="115">
        <v>-1259</v>
      </c>
      <c r="AA19" s="115">
        <v>-2735</v>
      </c>
      <c r="AB19" s="115">
        <v>-4229</v>
      </c>
      <c r="AC19" s="115">
        <v>-5602</v>
      </c>
      <c r="AD19" s="115">
        <v>-1184</v>
      </c>
      <c r="AE19" s="115">
        <v>-2645</v>
      </c>
      <c r="AF19" s="115">
        <v>-4257</v>
      </c>
      <c r="AG19" s="115">
        <v>-5837</v>
      </c>
      <c r="AH19" s="115">
        <v>-1513</v>
      </c>
    </row>
    <row r="20" spans="1:34" ht="20.25" customHeight="1" thickBot="1">
      <c r="A20" s="116" t="s">
        <v>31</v>
      </c>
      <c r="B20" s="117">
        <v>4069.418989000003</v>
      </c>
      <c r="C20" s="117">
        <v>7856.5459190000001</v>
      </c>
      <c r="D20" s="117">
        <v>11838</v>
      </c>
      <c r="E20" s="117">
        <v>15362</v>
      </c>
      <c r="F20" s="117">
        <v>3945</v>
      </c>
      <c r="G20" s="117">
        <v>8710</v>
      </c>
      <c r="H20" s="117">
        <v>12980</v>
      </c>
      <c r="I20" s="117">
        <v>17769</v>
      </c>
      <c r="J20" s="117">
        <v>3166</v>
      </c>
      <c r="K20" s="117">
        <v>4606</v>
      </c>
      <c r="L20" s="117">
        <v>7932</v>
      </c>
      <c r="M20" s="117">
        <v>10017</v>
      </c>
      <c r="N20" s="117">
        <v>2688</v>
      </c>
      <c r="O20" s="117">
        <v>6595</v>
      </c>
      <c r="P20" s="117">
        <v>10806</v>
      </c>
      <c r="Q20" s="117">
        <v>14208</v>
      </c>
      <c r="R20" s="117">
        <v>4950</v>
      </c>
      <c r="S20" s="117">
        <v>11034</v>
      </c>
      <c r="T20" s="117">
        <v>15054</v>
      </c>
      <c r="U20" s="117">
        <v>20188</v>
      </c>
      <c r="V20" s="117">
        <v>3303</v>
      </c>
      <c r="W20" s="117">
        <v>9291</v>
      </c>
      <c r="X20" s="117">
        <v>14644</v>
      </c>
      <c r="Y20" s="117">
        <v>18680</v>
      </c>
      <c r="Z20" s="117">
        <v>5725</v>
      </c>
      <c r="AA20" s="117">
        <v>12433</v>
      </c>
      <c r="AB20" s="117">
        <v>19435</v>
      </c>
      <c r="AC20" s="117">
        <v>26238</v>
      </c>
      <c r="AD20" s="117">
        <v>5748</v>
      </c>
      <c r="AE20" s="117">
        <v>12841</v>
      </c>
      <c r="AF20" s="117">
        <v>19068</v>
      </c>
      <c r="AG20" s="117">
        <v>27874</v>
      </c>
      <c r="AH20" s="117">
        <v>7093</v>
      </c>
    </row>
    <row r="21" spans="1:34" s="123" customFormat="1" ht="20.25" customHeight="1" thickBot="1">
      <c r="A21" s="119" t="s">
        <v>33</v>
      </c>
      <c r="B21" s="120">
        <v>-0.52544000000000002</v>
      </c>
      <c r="C21" s="120">
        <v>-13.296196999999999</v>
      </c>
      <c r="D21" s="120">
        <v>-8</v>
      </c>
      <c r="E21" s="120">
        <v>0</v>
      </c>
      <c r="F21" s="120">
        <v>3</v>
      </c>
      <c r="G21" s="120">
        <v>10</v>
      </c>
      <c r="H21" s="120">
        <v>9</v>
      </c>
      <c r="I21" s="120">
        <v>26</v>
      </c>
      <c r="J21" s="120">
        <v>4</v>
      </c>
      <c r="K21" s="120">
        <v>1</v>
      </c>
      <c r="L21" s="120">
        <v>9</v>
      </c>
      <c r="M21" s="120">
        <v>11</v>
      </c>
      <c r="N21" s="120">
        <v>-5</v>
      </c>
      <c r="O21" s="120">
        <v>-7</v>
      </c>
      <c r="P21" s="120">
        <v>7</v>
      </c>
      <c r="Q21" s="120">
        <v>27</v>
      </c>
      <c r="R21" s="120">
        <v>-14</v>
      </c>
      <c r="S21" s="120">
        <v>8</v>
      </c>
      <c r="T21" s="120">
        <v>23</v>
      </c>
      <c r="U21" s="120">
        <v>27</v>
      </c>
      <c r="V21" s="120">
        <v>3</v>
      </c>
      <c r="W21" s="120">
        <v>26</v>
      </c>
      <c r="X21" s="120">
        <v>43</v>
      </c>
      <c r="Y21" s="120">
        <v>66</v>
      </c>
      <c r="Z21" s="120">
        <v>5</v>
      </c>
      <c r="AA21" s="120">
        <v>23</v>
      </c>
      <c r="AB21" s="120">
        <v>36</v>
      </c>
      <c r="AC21" s="120">
        <v>76</v>
      </c>
      <c r="AD21" s="120">
        <v>11</v>
      </c>
      <c r="AE21" s="120">
        <v>32</v>
      </c>
      <c r="AF21" s="120">
        <v>56</v>
      </c>
      <c r="AG21" s="120">
        <v>112</v>
      </c>
      <c r="AH21" s="120">
        <v>7</v>
      </c>
    </row>
    <row r="22" spans="1:34" s="123" customFormat="1" ht="20.25" customHeight="1" thickBot="1">
      <c r="A22" s="136" t="s">
        <v>34</v>
      </c>
      <c r="B22" s="124">
        <v>4070.3935490000031</v>
      </c>
      <c r="C22" s="124">
        <v>7869.8421159999998</v>
      </c>
      <c r="D22" s="124">
        <v>11846</v>
      </c>
      <c r="E22" s="124">
        <v>15362</v>
      </c>
      <c r="F22" s="124">
        <v>3942</v>
      </c>
      <c r="G22" s="124">
        <v>8700</v>
      </c>
      <c r="H22" s="124">
        <v>12971</v>
      </c>
      <c r="I22" s="124">
        <v>17743</v>
      </c>
      <c r="J22" s="124">
        <v>3162</v>
      </c>
      <c r="K22" s="124">
        <v>4605</v>
      </c>
      <c r="L22" s="124">
        <v>7923</v>
      </c>
      <c r="M22" s="124">
        <v>10006</v>
      </c>
      <c r="N22" s="124">
        <v>2693</v>
      </c>
      <c r="O22" s="124">
        <v>6602</v>
      </c>
      <c r="P22" s="124">
        <v>10799</v>
      </c>
      <c r="Q22" s="124">
        <v>14181</v>
      </c>
      <c r="R22" s="124">
        <v>4964</v>
      </c>
      <c r="S22" s="124">
        <v>11026</v>
      </c>
      <c r="T22" s="124">
        <v>15031</v>
      </c>
      <c r="U22" s="124">
        <v>20161</v>
      </c>
      <c r="V22" s="124">
        <v>3300</v>
      </c>
      <c r="W22" s="124">
        <v>9265</v>
      </c>
      <c r="X22" s="124">
        <v>14601</v>
      </c>
      <c r="Y22" s="124">
        <v>18614</v>
      </c>
      <c r="Z22" s="124">
        <v>5720</v>
      </c>
      <c r="AA22" s="124">
        <v>12410</v>
      </c>
      <c r="AB22" s="124">
        <v>19399</v>
      </c>
      <c r="AC22" s="124">
        <v>26162</v>
      </c>
      <c r="AD22" s="124">
        <v>5737</v>
      </c>
      <c r="AE22" s="124">
        <v>12809</v>
      </c>
      <c r="AF22" s="124">
        <v>19012</v>
      </c>
      <c r="AG22" s="124">
        <v>27762</v>
      </c>
      <c r="AH22" s="124">
        <v>7086</v>
      </c>
    </row>
    <row r="23" spans="1:34" ht="20.25" customHeight="1">
      <c r="B23" s="19"/>
      <c r="C23" s="19"/>
      <c r="D23" s="19"/>
      <c r="E23" s="19"/>
      <c r="F23" s="19"/>
      <c r="G23" s="19"/>
      <c r="H23" s="19"/>
      <c r="AD23" s="17"/>
      <c r="AE23" s="17"/>
      <c r="AF23" s="17"/>
      <c r="AG23" s="17"/>
      <c r="AH23" s="17"/>
    </row>
    <row r="24" spans="1:34" s="127" customFormat="1" ht="20.25" customHeight="1" thickBot="1">
      <c r="A24" s="125" t="s">
        <v>100</v>
      </c>
      <c r="B24" s="126">
        <v>0.48941332626994344</v>
      </c>
      <c r="C24" s="126">
        <v>0.49155215717871598</v>
      </c>
      <c r="D24" s="126">
        <v>0.47704340549953372</v>
      </c>
      <c r="E24" s="126">
        <v>0.46884888756980908</v>
      </c>
      <c r="F24" s="126">
        <v>0.47308720041768987</v>
      </c>
      <c r="G24" s="126">
        <v>0.45719518872227183</v>
      </c>
      <c r="H24" s="126">
        <v>0.46017257858713922</v>
      </c>
      <c r="I24" s="126">
        <v>0.46188319555053209</v>
      </c>
      <c r="J24" s="126">
        <v>0.48509704933019782</v>
      </c>
      <c r="K24" s="126">
        <v>0.49042967205388838</v>
      </c>
      <c r="L24" s="126">
        <v>0.48213790480492391</v>
      </c>
      <c r="M24" s="126">
        <v>0.47598987474316062</v>
      </c>
      <c r="N24" s="126">
        <v>0.50957995625428176</v>
      </c>
      <c r="O24" s="126">
        <v>0.49160062335937643</v>
      </c>
      <c r="P24" s="126">
        <v>0.47809640710352658</v>
      </c>
      <c r="Q24" s="126">
        <v>0.48159632465717961</v>
      </c>
      <c r="R24" s="126">
        <v>0.4156776152622394</v>
      </c>
      <c r="S24" s="126">
        <v>0.41544058857203925</v>
      </c>
      <c r="T24" s="126">
        <v>0.41914874660789914</v>
      </c>
      <c r="U24" s="126">
        <v>0.42799999999999999</v>
      </c>
      <c r="V24" s="126">
        <v>0.50960000000000005</v>
      </c>
      <c r="W24" s="126">
        <v>0.48499999999999999</v>
      </c>
      <c r="X24" s="126">
        <v>0.47699999999999998</v>
      </c>
      <c r="Y24" s="126">
        <v>0.47849999999999998</v>
      </c>
      <c r="Z24" s="126">
        <v>0.44190000000000002</v>
      </c>
      <c r="AA24" s="126">
        <v>0.43819999999999998</v>
      </c>
      <c r="AB24" s="126">
        <v>0.42359999999999998</v>
      </c>
      <c r="AC24" s="126">
        <v>0.43030000000000002</v>
      </c>
      <c r="AD24" s="126">
        <v>0.4471</v>
      </c>
      <c r="AE24" s="126">
        <v>0.43830000000000002</v>
      </c>
      <c r="AF24" s="126">
        <v>0.43180000000000002</v>
      </c>
      <c r="AG24" s="126">
        <v>0.42720000000000002</v>
      </c>
      <c r="AH24" s="126">
        <v>0.42559999999999998</v>
      </c>
    </row>
    <row r="25" spans="1:34" s="127" customFormat="1" ht="20.25" customHeight="1" thickBot="1">
      <c r="A25" s="128" t="s">
        <v>137</v>
      </c>
      <c r="B25" s="129"/>
      <c r="C25" s="129"/>
      <c r="D25" s="129"/>
      <c r="E25" s="129">
        <v>0.13170000000000001</v>
      </c>
      <c r="F25" s="129">
        <v>0.13600000000000001</v>
      </c>
      <c r="G25" s="129">
        <v>0.14399999999999999</v>
      </c>
      <c r="H25" s="129">
        <v>0.14510000000000001</v>
      </c>
      <c r="I25" s="129">
        <v>0.14460000000000001</v>
      </c>
      <c r="J25" s="129">
        <v>0.1028</v>
      </c>
      <c r="K25" s="129">
        <v>6.4899999999999999E-2</v>
      </c>
      <c r="L25" s="129">
        <v>7.7700000000000005E-2</v>
      </c>
      <c r="M25" s="129">
        <v>6.9800000000000001E-2</v>
      </c>
      <c r="N25" s="129">
        <v>8.1000000000000003E-2</v>
      </c>
      <c r="O25" s="129">
        <v>9.8900000000000002E-2</v>
      </c>
      <c r="P25" s="129">
        <v>0.1024</v>
      </c>
      <c r="Q25" s="129">
        <v>9.8000000000000004E-2</v>
      </c>
      <c r="R25" s="129">
        <v>0.14630000000000001</v>
      </c>
      <c r="S25" s="129">
        <v>0.1663</v>
      </c>
      <c r="T25" s="129">
        <v>0.155</v>
      </c>
      <c r="U25" s="129">
        <v>0.1517</v>
      </c>
      <c r="V25" s="129">
        <v>0.10100000000000001</v>
      </c>
      <c r="W25" s="129">
        <v>0.13800000000000001</v>
      </c>
      <c r="X25" s="129">
        <v>0.14799999999999999</v>
      </c>
      <c r="Y25" s="129">
        <v>0.13919999999999999</v>
      </c>
      <c r="Z25" s="129">
        <v>0.1661</v>
      </c>
      <c r="AA25" s="129">
        <v>0.1759</v>
      </c>
      <c r="AB25" s="129">
        <v>0.185</v>
      </c>
      <c r="AC25" s="129">
        <v>0.1837</v>
      </c>
      <c r="AD25" s="152">
        <v>0.15490000000000001</v>
      </c>
      <c r="AE25" s="152">
        <v>0.16800000000000001</v>
      </c>
      <c r="AF25" s="152">
        <v>0.1711</v>
      </c>
      <c r="AG25" s="152">
        <v>0.1885</v>
      </c>
      <c r="AH25" s="152">
        <v>0.1865</v>
      </c>
    </row>
    <row r="26" spans="1:34" ht="16.5" customHeight="1"/>
    <row r="27" spans="1:34" ht="16.5" customHeight="1"/>
    <row r="28" spans="1:34" ht="16.5" customHeight="1" thickBot="1"/>
    <row r="29" spans="1:34" ht="20.25" customHeight="1" thickBot="1">
      <c r="A29" s="111"/>
      <c r="B29" s="122">
        <v>43190</v>
      </c>
      <c r="C29" s="122">
        <v>43281</v>
      </c>
      <c r="D29" s="122">
        <v>43373</v>
      </c>
      <c r="E29" s="122">
        <v>43465</v>
      </c>
      <c r="F29" s="122">
        <v>43555</v>
      </c>
      <c r="G29" s="122">
        <v>43646</v>
      </c>
      <c r="H29" s="122">
        <v>43738</v>
      </c>
      <c r="I29" s="122">
        <v>43830</v>
      </c>
      <c r="J29" s="122">
        <v>43921</v>
      </c>
      <c r="K29" s="122">
        <v>44012</v>
      </c>
      <c r="L29" s="122">
        <v>44104</v>
      </c>
      <c r="M29" s="122">
        <v>44196</v>
      </c>
      <c r="N29" s="122">
        <v>44286</v>
      </c>
      <c r="O29" s="122">
        <v>44377</v>
      </c>
      <c r="P29" s="122">
        <v>44469</v>
      </c>
      <c r="Q29" s="122">
        <v>44561</v>
      </c>
      <c r="R29" s="122">
        <v>44651</v>
      </c>
      <c r="S29" s="122">
        <v>44742</v>
      </c>
      <c r="T29" s="122">
        <v>44834</v>
      </c>
      <c r="U29" s="122">
        <v>44926</v>
      </c>
      <c r="V29" s="122">
        <v>45016</v>
      </c>
      <c r="W29" s="122">
        <v>45107</v>
      </c>
      <c r="X29" s="122">
        <v>45199</v>
      </c>
      <c r="Y29" s="122">
        <v>45291</v>
      </c>
      <c r="Z29" s="122">
        <v>45382</v>
      </c>
      <c r="AA29" s="122">
        <v>45473</v>
      </c>
      <c r="AB29" s="122">
        <v>45565</v>
      </c>
      <c r="AC29" s="122">
        <v>45657</v>
      </c>
      <c r="AD29" s="122">
        <v>45747</v>
      </c>
      <c r="AE29" s="122">
        <v>45838</v>
      </c>
      <c r="AF29" s="122">
        <v>45930</v>
      </c>
      <c r="AG29" s="122">
        <v>46022</v>
      </c>
      <c r="AH29" s="122">
        <v>46112</v>
      </c>
    </row>
    <row r="30" spans="1:34" ht="20.25" customHeight="1">
      <c r="A30" s="113" t="s">
        <v>10</v>
      </c>
      <c r="B30" s="115">
        <v>-2290.5734829999997</v>
      </c>
      <c r="C30" s="115">
        <v>-4694.2854050000005</v>
      </c>
      <c r="D30" s="115">
        <v>-7172</v>
      </c>
      <c r="E30" s="115">
        <v>-9553</v>
      </c>
      <c r="F30" s="115">
        <v>-2455</v>
      </c>
      <c r="G30" s="115">
        <v>-5009</v>
      </c>
      <c r="H30" s="115">
        <v>-7603</v>
      </c>
      <c r="I30" s="115">
        <v>-10156</v>
      </c>
      <c r="J30" s="115">
        <v>-2551</v>
      </c>
      <c r="K30" s="115">
        <v>-5163</v>
      </c>
      <c r="L30" s="115">
        <v>-7747</v>
      </c>
      <c r="M30" s="115">
        <v>-9892</v>
      </c>
      <c r="N30" s="115">
        <v>-2631</v>
      </c>
      <c r="O30" s="115">
        <v>-5264</v>
      </c>
      <c r="P30" s="115">
        <v>-7949</v>
      </c>
      <c r="Q30" s="115">
        <v>-11010</v>
      </c>
      <c r="R30" s="115">
        <v>-2721</v>
      </c>
      <c r="S30" s="115">
        <v>-5650</v>
      </c>
      <c r="T30" s="115">
        <v>-8622</v>
      </c>
      <c r="U30" s="115">
        <v>-11458</v>
      </c>
      <c r="V30" s="115">
        <v>-3050</v>
      </c>
      <c r="W30" s="115">
        <v>-6251</v>
      </c>
      <c r="X30" s="115">
        <v>-9325</v>
      </c>
      <c r="Y30" s="115">
        <v>-12685</v>
      </c>
      <c r="Z30" s="115">
        <v>-3077</v>
      </c>
      <c r="AA30" s="115">
        <v>-6350</v>
      </c>
      <c r="AB30" s="115">
        <v>-9587</v>
      </c>
      <c r="AC30" s="115">
        <v>-13232</v>
      </c>
      <c r="AD30" s="115">
        <v>-3216</v>
      </c>
      <c r="AE30" s="115">
        <v>-6683</v>
      </c>
      <c r="AF30" s="115">
        <v>-10039</v>
      </c>
      <c r="AG30" s="115">
        <v>-13535</v>
      </c>
      <c r="AH30" s="115">
        <v>-3371</v>
      </c>
    </row>
    <row r="31" spans="1:34" ht="20.25" customHeight="1">
      <c r="A31" s="113" t="s">
        <v>11</v>
      </c>
      <c r="B31" s="115">
        <v>-1845.593218</v>
      </c>
      <c r="C31" s="115">
        <v>-3456.824975</v>
      </c>
      <c r="D31" s="115">
        <v>-5042</v>
      </c>
      <c r="E31" s="115">
        <v>-6773</v>
      </c>
      <c r="F31" s="115">
        <v>-1772</v>
      </c>
      <c r="G31" s="115">
        <v>-3295</v>
      </c>
      <c r="H31" s="115">
        <v>-4837</v>
      </c>
      <c r="I31" s="115">
        <v>-6592</v>
      </c>
      <c r="J31" s="115">
        <v>-1775</v>
      </c>
      <c r="K31" s="115">
        <v>-3285</v>
      </c>
      <c r="L31" s="115">
        <v>-4752</v>
      </c>
      <c r="M31" s="115">
        <v>-6469</v>
      </c>
      <c r="N31" s="115">
        <v>-1838</v>
      </c>
      <c r="O31" s="115">
        <v>-3370</v>
      </c>
      <c r="P31" s="115">
        <v>-4839</v>
      </c>
      <c r="Q31" s="115">
        <v>-6668</v>
      </c>
      <c r="R31" s="115">
        <v>-1957</v>
      </c>
      <c r="S31" s="115">
        <v>-3569</v>
      </c>
      <c r="T31" s="115">
        <v>-5208</v>
      </c>
      <c r="U31" s="115">
        <v>-7156</v>
      </c>
      <c r="V31" s="115">
        <v>-2149</v>
      </c>
      <c r="W31" s="115">
        <v>-3934</v>
      </c>
      <c r="X31" s="115">
        <v>-5600</v>
      </c>
      <c r="Y31" s="115">
        <v>-7675</v>
      </c>
      <c r="Z31" s="115">
        <v>-2219</v>
      </c>
      <c r="AA31" s="115">
        <v>-4136</v>
      </c>
      <c r="AB31" s="115">
        <v>-6018</v>
      </c>
      <c r="AC31" s="115">
        <v>-8300</v>
      </c>
      <c r="AD31" s="115">
        <v>-2457</v>
      </c>
      <c r="AE31" s="115">
        <v>-4509</v>
      </c>
      <c r="AF31" s="115">
        <v>-6684</v>
      </c>
      <c r="AG31" s="115">
        <v>-8929</v>
      </c>
      <c r="AH31" s="115">
        <v>-2435</v>
      </c>
    </row>
    <row r="32" spans="1:34" ht="20.25" customHeight="1">
      <c r="A32" s="118" t="s">
        <v>40</v>
      </c>
      <c r="B32" s="115">
        <v>-234</v>
      </c>
      <c r="C32" s="115">
        <v>-245.60232399999998</v>
      </c>
      <c r="D32" s="115">
        <v>-246</v>
      </c>
      <c r="E32" s="115">
        <v>-246</v>
      </c>
      <c r="F32" s="115">
        <v>-268</v>
      </c>
      <c r="G32" s="115">
        <v>-266</v>
      </c>
      <c r="H32" s="115">
        <v>-266</v>
      </c>
      <c r="I32" s="115">
        <v>-266</v>
      </c>
      <c r="J32" s="115">
        <v>-271</v>
      </c>
      <c r="K32" s="115">
        <v>-268</v>
      </c>
      <c r="L32" s="115">
        <v>-268</v>
      </c>
      <c r="M32" s="115">
        <v>-268</v>
      </c>
      <c r="N32" s="115">
        <v>-295</v>
      </c>
      <c r="O32" s="115">
        <v>-278</v>
      </c>
      <c r="P32" s="115">
        <v>-278</v>
      </c>
      <c r="Q32" s="115">
        <v>-278</v>
      </c>
      <c r="R32" s="115">
        <v>-329</v>
      </c>
      <c r="S32" s="115">
        <v>-329</v>
      </c>
      <c r="T32" s="115">
        <v>-329</v>
      </c>
      <c r="U32" s="115">
        <v>-329</v>
      </c>
      <c r="V32" s="115">
        <v>-364</v>
      </c>
      <c r="W32" s="115">
        <v>-469</v>
      </c>
      <c r="X32" s="115">
        <v>-469</v>
      </c>
      <c r="Y32" s="115">
        <v>-469</v>
      </c>
      <c r="Z32" s="115">
        <v>-380.6</v>
      </c>
      <c r="AA32" s="115">
        <v>-406.7</v>
      </c>
      <c r="AB32" s="115">
        <v>-406.7</v>
      </c>
      <c r="AC32" s="115">
        <v>-406.7</v>
      </c>
      <c r="AD32" s="115">
        <v>-442.4</v>
      </c>
      <c r="AE32" s="115">
        <v>-393.6</v>
      </c>
      <c r="AF32" s="115">
        <v>-393.6</v>
      </c>
      <c r="AG32" s="115">
        <v>-393.6</v>
      </c>
      <c r="AH32" s="115">
        <v>-424.2</v>
      </c>
    </row>
    <row r="33" spans="1:34" ht="20.25" customHeight="1" thickBot="1">
      <c r="A33" s="113" t="s">
        <v>12</v>
      </c>
      <c r="B33" s="115">
        <v>-499.70212900000001</v>
      </c>
      <c r="C33" s="115">
        <v>-1008.8563959999999</v>
      </c>
      <c r="D33" s="115">
        <v>-1492</v>
      </c>
      <c r="E33" s="115">
        <v>-2001</v>
      </c>
      <c r="F33" s="115">
        <v>-602</v>
      </c>
      <c r="G33" s="115">
        <v>-1230</v>
      </c>
      <c r="H33" s="115">
        <v>-1878</v>
      </c>
      <c r="I33" s="115">
        <v>-2604</v>
      </c>
      <c r="J33" s="115">
        <v>-680</v>
      </c>
      <c r="K33" s="115">
        <v>-1345</v>
      </c>
      <c r="L33" s="115">
        <v>-2002</v>
      </c>
      <c r="M33" s="115">
        <v>-2749</v>
      </c>
      <c r="N33" s="115">
        <v>-675</v>
      </c>
      <c r="O33" s="115">
        <v>-1345</v>
      </c>
      <c r="P33" s="115">
        <v>-2027</v>
      </c>
      <c r="Q33" s="115">
        <v>-2720</v>
      </c>
      <c r="R33" s="115">
        <v>-655</v>
      </c>
      <c r="S33" s="115">
        <v>-1321</v>
      </c>
      <c r="T33" s="115">
        <v>-1995</v>
      </c>
      <c r="U33" s="115">
        <v>-2721</v>
      </c>
      <c r="V33" s="115">
        <v>-675</v>
      </c>
      <c r="W33" s="115">
        <v>-1369</v>
      </c>
      <c r="X33" s="115">
        <v>-2082</v>
      </c>
      <c r="Y33" s="115">
        <v>-2784</v>
      </c>
      <c r="Z33" s="115">
        <v>-679</v>
      </c>
      <c r="AA33" s="115">
        <v>-1371</v>
      </c>
      <c r="AB33" s="115">
        <v>-2060</v>
      </c>
      <c r="AC33" s="115">
        <v>-2772</v>
      </c>
      <c r="AD33" s="115">
        <v>-670</v>
      </c>
      <c r="AE33" s="115">
        <v>-1362</v>
      </c>
      <c r="AF33" s="115">
        <v>-2065</v>
      </c>
      <c r="AG33" s="115">
        <v>-2812</v>
      </c>
      <c r="AH33" s="115">
        <v>-748</v>
      </c>
    </row>
    <row r="34" spans="1:34" s="123" customFormat="1" ht="20.25" customHeight="1" thickBot="1">
      <c r="A34" s="130" t="s">
        <v>9</v>
      </c>
      <c r="B34" s="124">
        <v>-4635.8688300000003</v>
      </c>
      <c r="C34" s="124">
        <v>-9159.9667759999993</v>
      </c>
      <c r="D34" s="124">
        <v>-13705</v>
      </c>
      <c r="E34" s="124">
        <v>-18327</v>
      </c>
      <c r="F34" s="124">
        <v>-4829</v>
      </c>
      <c r="G34" s="124">
        <v>-9534</v>
      </c>
      <c r="H34" s="124">
        <v>-14318</v>
      </c>
      <c r="I34" s="124">
        <v>-19352</v>
      </c>
      <c r="J34" s="124">
        <v>-5006</v>
      </c>
      <c r="K34" s="124">
        <v>-9793</v>
      </c>
      <c r="L34" s="124">
        <v>-14501</v>
      </c>
      <c r="M34" s="124">
        <v>-19110</v>
      </c>
      <c r="N34" s="124">
        <v>-5144</v>
      </c>
      <c r="O34" s="124">
        <v>-9979</v>
      </c>
      <c r="P34" s="124">
        <v>-14815</v>
      </c>
      <c r="Q34" s="124">
        <v>-20398</v>
      </c>
      <c r="R34" s="124">
        <v>-5333</v>
      </c>
      <c r="S34" s="124">
        <v>-10540</v>
      </c>
      <c r="T34" s="124">
        <v>-15825</v>
      </c>
      <c r="U34" s="124">
        <v>-21335</v>
      </c>
      <c r="V34" s="124">
        <v>-5874</v>
      </c>
      <c r="W34" s="124">
        <v>-11554</v>
      </c>
      <c r="X34" s="124">
        <v>-17007</v>
      </c>
      <c r="Y34" s="124">
        <v>-23144</v>
      </c>
      <c r="Z34" s="124">
        <v>-5975</v>
      </c>
      <c r="AA34" s="124">
        <v>-11857</v>
      </c>
      <c r="AB34" s="124">
        <v>-17665</v>
      </c>
      <c r="AC34" s="124">
        <v>-24304</v>
      </c>
      <c r="AD34" s="124">
        <v>-6343</v>
      </c>
      <c r="AE34" s="124">
        <v>-12554</v>
      </c>
      <c r="AF34" s="124">
        <v>-18788</v>
      </c>
      <c r="AG34" s="124">
        <v>-25276</v>
      </c>
      <c r="AH34" s="124">
        <v>-6554</v>
      </c>
    </row>
    <row r="35" spans="1:34" ht="23.25" customHeight="1"/>
    <row r="36" spans="1:34" ht="23.25" customHeight="1" thickBot="1"/>
    <row r="37" spans="1:34" ht="20.25" customHeight="1" thickBot="1">
      <c r="A37" s="111"/>
      <c r="B37" s="122">
        <v>43190</v>
      </c>
      <c r="C37" s="122">
        <v>43281</v>
      </c>
      <c r="D37" s="122">
        <v>43373</v>
      </c>
      <c r="E37" s="122">
        <v>43465</v>
      </c>
      <c r="F37" s="122">
        <v>43555</v>
      </c>
      <c r="G37" s="122">
        <v>43646</v>
      </c>
      <c r="H37" s="122">
        <v>43738</v>
      </c>
      <c r="I37" s="122">
        <v>43830</v>
      </c>
      <c r="J37" s="122">
        <v>43921</v>
      </c>
      <c r="K37" s="122">
        <v>44012</v>
      </c>
      <c r="L37" s="122">
        <v>44104</v>
      </c>
      <c r="M37" s="122">
        <v>44196</v>
      </c>
      <c r="N37" s="122">
        <v>44286</v>
      </c>
      <c r="O37" s="122">
        <v>44377</v>
      </c>
      <c r="P37" s="122">
        <v>44469</v>
      </c>
      <c r="Q37" s="122">
        <v>44561</v>
      </c>
      <c r="R37" s="122">
        <v>44651</v>
      </c>
      <c r="S37" s="122">
        <v>44742</v>
      </c>
      <c r="T37" s="122">
        <v>44834</v>
      </c>
      <c r="U37" s="122">
        <v>44926</v>
      </c>
      <c r="V37" s="122">
        <v>45016</v>
      </c>
      <c r="W37" s="122">
        <v>45107</v>
      </c>
      <c r="X37" s="122">
        <v>45199</v>
      </c>
      <c r="Y37" s="122">
        <v>45291</v>
      </c>
      <c r="Z37" s="122">
        <v>45382</v>
      </c>
      <c r="AA37" s="122">
        <v>45473</v>
      </c>
      <c r="AB37" s="122">
        <v>45565</v>
      </c>
      <c r="AC37" s="122">
        <v>45657</v>
      </c>
      <c r="AD37" s="122">
        <v>45747</v>
      </c>
      <c r="AE37" s="122">
        <v>45838</v>
      </c>
      <c r="AF37" s="122">
        <v>45930</v>
      </c>
      <c r="AG37" s="122">
        <v>46022</v>
      </c>
      <c r="AH37" s="122">
        <v>46112</v>
      </c>
    </row>
    <row r="38" spans="1:34" ht="20.25" customHeight="1" thickBot="1">
      <c r="A38" s="131" t="s">
        <v>74</v>
      </c>
      <c r="B38" s="132">
        <v>7438.9048789999997</v>
      </c>
      <c r="C38" s="132">
        <v>16150.814651999997</v>
      </c>
      <c r="D38" s="132">
        <v>25089.613342000004</v>
      </c>
      <c r="E38" s="132">
        <v>35006</v>
      </c>
      <c r="F38" s="132">
        <v>9950</v>
      </c>
      <c r="G38" s="132">
        <v>20180</v>
      </c>
      <c r="H38" s="132">
        <v>30629</v>
      </c>
      <c r="I38" s="132">
        <v>41890</v>
      </c>
      <c r="J38" s="132">
        <v>10688</v>
      </c>
      <c r="K38" s="132">
        <v>20040</v>
      </c>
      <c r="L38" s="132">
        <v>28802</v>
      </c>
      <c r="M38" s="132">
        <v>37534</v>
      </c>
      <c r="N38" s="132">
        <v>8181</v>
      </c>
      <c r="O38" s="132">
        <v>16673</v>
      </c>
      <c r="P38" s="132">
        <v>25454</v>
      </c>
      <c r="Q38" s="132">
        <v>37060</v>
      </c>
      <c r="R38" s="132">
        <v>15465</v>
      </c>
      <c r="S38" s="132">
        <v>34216</v>
      </c>
      <c r="T38" s="132">
        <v>56197</v>
      </c>
      <c r="U38" s="132">
        <v>77445</v>
      </c>
      <c r="V38" s="132">
        <v>22979</v>
      </c>
      <c r="W38" s="132">
        <v>47241</v>
      </c>
      <c r="X38" s="132">
        <v>73340</v>
      </c>
      <c r="Y38" s="132">
        <v>99839.8</v>
      </c>
      <c r="Z38" s="132">
        <v>27478.399999999998</v>
      </c>
      <c r="AA38" s="132">
        <v>53462.1</v>
      </c>
      <c r="AB38" s="132">
        <v>77838.600000000006</v>
      </c>
      <c r="AC38" s="132">
        <v>100518</v>
      </c>
      <c r="AD38" s="132">
        <v>21727.1</v>
      </c>
      <c r="AE38" s="132">
        <v>43270.6</v>
      </c>
      <c r="AF38" s="132">
        <v>64652.299999999996</v>
      </c>
      <c r="AG38" s="132">
        <v>86451.200000000012</v>
      </c>
      <c r="AH38" s="132">
        <v>21645.600000000002</v>
      </c>
    </row>
    <row r="39" spans="1:34" ht="20.25" customHeight="1">
      <c r="A39" s="113" t="s">
        <v>101</v>
      </c>
      <c r="B39" s="115">
        <v>6828.3689649999997</v>
      </c>
      <c r="C39" s="115">
        <v>13981.71552</v>
      </c>
      <c r="D39" s="115">
        <v>21864.360802000003</v>
      </c>
      <c r="E39" s="115">
        <v>30719.370234999999</v>
      </c>
      <c r="F39" s="115">
        <v>8856</v>
      </c>
      <c r="G39" s="115">
        <v>18074</v>
      </c>
      <c r="H39" s="115">
        <v>27626</v>
      </c>
      <c r="I39" s="115">
        <v>37433</v>
      </c>
      <c r="J39" s="115">
        <v>9726</v>
      </c>
      <c r="K39" s="115">
        <v>17333</v>
      </c>
      <c r="L39" s="115">
        <v>24517</v>
      </c>
      <c r="M39" s="115">
        <v>31756</v>
      </c>
      <c r="N39" s="115">
        <v>7161</v>
      </c>
      <c r="O39" s="115">
        <v>14513</v>
      </c>
      <c r="P39" s="115">
        <v>22626</v>
      </c>
      <c r="Q39" s="115">
        <v>33230</v>
      </c>
      <c r="R39" s="115">
        <v>13903</v>
      </c>
      <c r="S39" s="115">
        <v>31027</v>
      </c>
      <c r="T39" s="115">
        <v>50809</v>
      </c>
      <c r="U39" s="115">
        <v>69586</v>
      </c>
      <c r="V39" s="115">
        <v>19772</v>
      </c>
      <c r="W39" s="115">
        <v>41454</v>
      </c>
      <c r="X39" s="115">
        <v>63123</v>
      </c>
      <c r="Y39" s="115">
        <v>84679.7</v>
      </c>
      <c r="Z39" s="115">
        <v>23963.5</v>
      </c>
      <c r="AA39" s="115">
        <v>46570.1</v>
      </c>
      <c r="AB39" s="115">
        <v>67961.100000000006</v>
      </c>
      <c r="AC39" s="115">
        <v>88231.2</v>
      </c>
      <c r="AD39" s="115">
        <v>19539</v>
      </c>
      <c r="AE39" s="115">
        <v>38873</v>
      </c>
      <c r="AF39" s="115">
        <v>57867.199999999997</v>
      </c>
      <c r="AG39" s="115">
        <v>77290.8</v>
      </c>
      <c r="AH39" s="115">
        <v>19727.8</v>
      </c>
    </row>
    <row r="40" spans="1:34" ht="20.25" customHeight="1">
      <c r="A40" s="113" t="s">
        <v>102</v>
      </c>
      <c r="B40" s="115">
        <v>429.87716899999998</v>
      </c>
      <c r="C40" s="115">
        <v>1847.9491069999999</v>
      </c>
      <c r="D40" s="115">
        <v>2761.7598229999994</v>
      </c>
      <c r="E40" s="115">
        <v>3702.0702659999997</v>
      </c>
      <c r="F40" s="115">
        <v>1049</v>
      </c>
      <c r="G40" s="115">
        <v>2055</v>
      </c>
      <c r="H40" s="115">
        <v>2957</v>
      </c>
      <c r="I40" s="115">
        <v>4412</v>
      </c>
      <c r="J40" s="115">
        <v>946</v>
      </c>
      <c r="K40" s="115">
        <v>2609</v>
      </c>
      <c r="L40" s="115">
        <v>4006</v>
      </c>
      <c r="M40" s="115">
        <v>5202</v>
      </c>
      <c r="N40" s="115">
        <v>715</v>
      </c>
      <c r="O40" s="115">
        <v>1603</v>
      </c>
      <c r="P40" s="115">
        <v>2020</v>
      </c>
      <c r="Q40" s="115">
        <v>2815</v>
      </c>
      <c r="R40" s="115">
        <v>1460</v>
      </c>
      <c r="S40" s="115">
        <v>3338</v>
      </c>
      <c r="T40" s="115">
        <v>5898</v>
      </c>
      <c r="U40" s="115">
        <v>8761</v>
      </c>
      <c r="V40" s="115">
        <v>3712</v>
      </c>
      <c r="W40" s="115">
        <v>6691</v>
      </c>
      <c r="X40" s="115">
        <v>11477</v>
      </c>
      <c r="Y40" s="115">
        <v>16696.900000000001</v>
      </c>
      <c r="Z40" s="115">
        <v>3880.3</v>
      </c>
      <c r="AA40" s="115">
        <v>7493.7</v>
      </c>
      <c r="AB40" s="115">
        <v>10655.5</v>
      </c>
      <c r="AC40" s="115">
        <v>13203.2</v>
      </c>
      <c r="AD40" s="115">
        <v>2311.3000000000002</v>
      </c>
      <c r="AE40" s="115">
        <v>4589.1000000000004</v>
      </c>
      <c r="AF40" s="115">
        <v>6998.5</v>
      </c>
      <c r="AG40" s="115">
        <v>9380.2999999999993</v>
      </c>
      <c r="AH40" s="115">
        <v>1891.4</v>
      </c>
    </row>
    <row r="41" spans="1:34" ht="20.25" customHeight="1" thickBot="1">
      <c r="A41" s="113" t="s">
        <v>76</v>
      </c>
      <c r="B41" s="115">
        <v>180.65874500000001</v>
      </c>
      <c r="C41" s="115">
        <v>321.15002499999997</v>
      </c>
      <c r="D41" s="115">
        <v>463.49271699999997</v>
      </c>
      <c r="E41" s="115">
        <v>585</v>
      </c>
      <c r="F41" s="115">
        <v>45</v>
      </c>
      <c r="G41" s="115">
        <v>51</v>
      </c>
      <c r="H41" s="115">
        <v>45</v>
      </c>
      <c r="I41" s="115">
        <v>45</v>
      </c>
      <c r="J41" s="115">
        <v>16</v>
      </c>
      <c r="K41" s="115">
        <v>99</v>
      </c>
      <c r="L41" s="115">
        <v>279</v>
      </c>
      <c r="M41" s="115">
        <v>577</v>
      </c>
      <c r="N41" s="115">
        <v>305</v>
      </c>
      <c r="O41" s="115">
        <v>557</v>
      </c>
      <c r="P41" s="115">
        <v>808</v>
      </c>
      <c r="Q41" s="115">
        <v>1015</v>
      </c>
      <c r="R41" s="115">
        <v>102</v>
      </c>
      <c r="S41" s="115">
        <v>-150</v>
      </c>
      <c r="T41" s="115">
        <v>-510</v>
      </c>
      <c r="U41" s="115">
        <v>-901</v>
      </c>
      <c r="V41" s="115">
        <v>-506</v>
      </c>
      <c r="W41" s="115">
        <v>-904</v>
      </c>
      <c r="X41" s="115">
        <v>-1259</v>
      </c>
      <c r="Y41" s="115">
        <v>-1536.7</v>
      </c>
      <c r="Z41" s="115">
        <v>-365.4</v>
      </c>
      <c r="AA41" s="115">
        <v>-601.70000000000005</v>
      </c>
      <c r="AB41" s="115">
        <v>-778</v>
      </c>
      <c r="AC41" s="115">
        <v>-916.4</v>
      </c>
      <c r="AD41" s="115">
        <v>-123.2</v>
      </c>
      <c r="AE41" s="115">
        <v>-191.5</v>
      </c>
      <c r="AF41" s="115">
        <v>-213.4</v>
      </c>
      <c r="AG41" s="115">
        <v>-219.9</v>
      </c>
      <c r="AH41" s="115">
        <v>26.4</v>
      </c>
    </row>
    <row r="42" spans="1:34" ht="20.25" customHeight="1" thickBot="1">
      <c r="A42" s="116" t="s">
        <v>77</v>
      </c>
      <c r="B42" s="117">
        <v>-891.39270499999986</v>
      </c>
      <c r="C42" s="117">
        <v>-3007.0683509999999</v>
      </c>
      <c r="D42" s="117">
        <v>-4904.8297560000001</v>
      </c>
      <c r="E42" s="117">
        <v>-7185</v>
      </c>
      <c r="F42" s="117">
        <v>-2663</v>
      </c>
      <c r="G42" s="117">
        <v>-5524</v>
      </c>
      <c r="H42" s="117">
        <v>-8389</v>
      </c>
      <c r="I42" s="117">
        <v>-11629</v>
      </c>
      <c r="J42" s="117">
        <v>-2903</v>
      </c>
      <c r="K42" s="117">
        <v>-5352</v>
      </c>
      <c r="L42" s="117">
        <v>-7005</v>
      </c>
      <c r="M42" s="117">
        <v>-8435</v>
      </c>
      <c r="N42" s="117">
        <v>-915</v>
      </c>
      <c r="O42" s="117">
        <v>-2142</v>
      </c>
      <c r="P42" s="117">
        <v>-3190</v>
      </c>
      <c r="Q42" s="117">
        <v>-5977</v>
      </c>
      <c r="R42" s="117">
        <v>-6199</v>
      </c>
      <c r="S42" s="117">
        <v>-15756</v>
      </c>
      <c r="T42" s="117">
        <v>-28594</v>
      </c>
      <c r="U42" s="117">
        <v>-40726</v>
      </c>
      <c r="V42" s="117">
        <v>-14820</v>
      </c>
      <c r="W42" s="117">
        <v>-30578</v>
      </c>
      <c r="X42" s="117">
        <v>-47922</v>
      </c>
      <c r="Y42" s="117">
        <v>-65256.6</v>
      </c>
      <c r="Z42" s="117">
        <v>-17876.400000000001</v>
      </c>
      <c r="AA42" s="117">
        <v>-34432</v>
      </c>
      <c r="AB42" s="117">
        <v>-48425.399999999994</v>
      </c>
      <c r="AC42" s="117">
        <v>-60706.6</v>
      </c>
      <c r="AD42" s="117">
        <v>-11589</v>
      </c>
      <c r="AE42" s="117">
        <v>-22669.100000000002</v>
      </c>
      <c r="AF42" s="117">
        <v>-33416.9</v>
      </c>
      <c r="AG42" s="117">
        <v>-44343.3</v>
      </c>
      <c r="AH42" s="117">
        <v>-10922.800000000001</v>
      </c>
    </row>
    <row r="43" spans="1:34" ht="20.25" customHeight="1">
      <c r="A43" s="113" t="s">
        <v>118</v>
      </c>
      <c r="B43" s="115">
        <v>-612.31102699999997</v>
      </c>
      <c r="C43" s="115">
        <v>-1502.2129309999998</v>
      </c>
      <c r="D43" s="115">
        <v>-2675.0022549999999</v>
      </c>
      <c r="E43" s="115">
        <v>-4233</v>
      </c>
      <c r="F43" s="115">
        <v>-1821</v>
      </c>
      <c r="G43" s="115">
        <v>-3918</v>
      </c>
      <c r="H43" s="115">
        <v>-6130</v>
      </c>
      <c r="I43" s="115">
        <v>-8185</v>
      </c>
      <c r="J43" s="115">
        <v>-2191</v>
      </c>
      <c r="K43" s="115">
        <v>-3140</v>
      </c>
      <c r="L43" s="115">
        <v>-3596</v>
      </c>
      <c r="M43" s="115">
        <v>-3991</v>
      </c>
      <c r="N43" s="115">
        <v>-339</v>
      </c>
      <c r="O43" s="115">
        <v>-773</v>
      </c>
      <c r="P43" s="115">
        <v>-1524</v>
      </c>
      <c r="Q43" s="115">
        <v>-3708</v>
      </c>
      <c r="R43" s="115">
        <v>-4913</v>
      </c>
      <c r="S43" s="115">
        <v>-12807</v>
      </c>
      <c r="T43" s="115">
        <v>-23504</v>
      </c>
      <c r="U43" s="115">
        <v>-33463</v>
      </c>
      <c r="V43" s="115">
        <v>-11549</v>
      </c>
      <c r="W43" s="115">
        <v>-24707</v>
      </c>
      <c r="X43" s="115">
        <v>-38101</v>
      </c>
      <c r="Y43" s="115">
        <v>-51066.3</v>
      </c>
      <c r="Z43" s="115">
        <v>-14719</v>
      </c>
      <c r="AA43" s="115">
        <v>-28316.1</v>
      </c>
      <c r="AB43" s="115">
        <v>-39795.599999999999</v>
      </c>
      <c r="AC43" s="115">
        <v>-50249</v>
      </c>
      <c r="AD43" s="115">
        <v>-9969.2999999999993</v>
      </c>
      <c r="AE43" s="115">
        <v>-19482.400000000001</v>
      </c>
      <c r="AF43" s="115">
        <v>-28574.7</v>
      </c>
      <c r="AG43" s="115">
        <v>-37831.4</v>
      </c>
      <c r="AH43" s="115">
        <v>-9629.2000000000007</v>
      </c>
    </row>
    <row r="44" spans="1:34" ht="20.25" customHeight="1">
      <c r="A44" s="113" t="s">
        <v>176</v>
      </c>
      <c r="B44" s="115">
        <v>-254.489799</v>
      </c>
      <c r="C44" s="115">
        <v>-1449.5113280000003</v>
      </c>
      <c r="D44" s="115">
        <v>-2141.5694310000003</v>
      </c>
      <c r="E44" s="115">
        <v>-2835</v>
      </c>
      <c r="F44" s="115">
        <v>-817</v>
      </c>
      <c r="G44" s="115">
        <v>-1551</v>
      </c>
      <c r="H44" s="115">
        <v>-2180</v>
      </c>
      <c r="I44" s="115">
        <v>-3339</v>
      </c>
      <c r="J44" s="115">
        <v>-675</v>
      </c>
      <c r="K44" s="115">
        <v>-2136</v>
      </c>
      <c r="L44" s="115">
        <v>-3299</v>
      </c>
      <c r="M44" s="115">
        <v>-4297</v>
      </c>
      <c r="N44" s="115">
        <v>-538</v>
      </c>
      <c r="O44" s="115">
        <v>-1295</v>
      </c>
      <c r="P44" s="115">
        <v>-1556</v>
      </c>
      <c r="Q44" s="115">
        <v>-2124</v>
      </c>
      <c r="R44" s="115">
        <v>-1250</v>
      </c>
      <c r="S44" s="115">
        <v>-2873</v>
      </c>
      <c r="T44" s="115">
        <v>-4981</v>
      </c>
      <c r="U44" s="115">
        <v>-7141</v>
      </c>
      <c r="V44" s="115">
        <v>-3131.8</v>
      </c>
      <c r="W44" s="115">
        <v>-5490.6</v>
      </c>
      <c r="X44" s="115">
        <v>-9267.2999999999993</v>
      </c>
      <c r="Y44" s="115">
        <v>-13318.9</v>
      </c>
      <c r="Z44" s="115">
        <v>-2981.5</v>
      </c>
      <c r="AA44" s="115">
        <v>-5749.9</v>
      </c>
      <c r="AB44" s="115">
        <v>-8098.1</v>
      </c>
      <c r="AC44" s="115">
        <v>-9788.5</v>
      </c>
      <c r="AD44" s="115">
        <v>-1519.1</v>
      </c>
      <c r="AE44" s="115">
        <v>-3009.9</v>
      </c>
      <c r="AF44" s="115">
        <v>-4614.6000000000004</v>
      </c>
      <c r="AG44" s="115">
        <v>-6231</v>
      </c>
      <c r="AH44" s="115">
        <v>-1246.5999999999999</v>
      </c>
    </row>
    <row r="45" spans="1:34" ht="20.25" customHeight="1" thickBot="1">
      <c r="A45" s="113" t="s">
        <v>177</v>
      </c>
      <c r="B45" s="115">
        <v>-24.591879000000002</v>
      </c>
      <c r="C45" s="115">
        <v>-55.344092000000003</v>
      </c>
      <c r="D45" s="115">
        <v>-88.258070000000004</v>
      </c>
      <c r="E45" s="115">
        <v>-116</v>
      </c>
      <c r="F45" s="115">
        <v>-24</v>
      </c>
      <c r="G45" s="115">
        <v>-55</v>
      </c>
      <c r="H45" s="115">
        <v>-79</v>
      </c>
      <c r="I45" s="115">
        <v>-105</v>
      </c>
      <c r="J45" s="115">
        <v>-36</v>
      </c>
      <c r="K45" s="115">
        <v>-76</v>
      </c>
      <c r="L45" s="115">
        <v>-109</v>
      </c>
      <c r="M45" s="115">
        <v>-147</v>
      </c>
      <c r="N45" s="115">
        <v>-38</v>
      </c>
      <c r="O45" s="115">
        <v>-73</v>
      </c>
      <c r="P45" s="115">
        <v>-109</v>
      </c>
      <c r="Q45" s="115">
        <v>-145</v>
      </c>
      <c r="R45" s="115">
        <v>-36</v>
      </c>
      <c r="S45" s="115">
        <v>-76</v>
      </c>
      <c r="T45" s="115">
        <v>-109</v>
      </c>
      <c r="U45" s="115">
        <v>-122</v>
      </c>
      <c r="V45" s="115">
        <v>-139.5</v>
      </c>
      <c r="W45" s="115">
        <v>-380.1</v>
      </c>
      <c r="X45" s="115">
        <v>-553.20000000000005</v>
      </c>
      <c r="Y45" s="115">
        <v>-871.4</v>
      </c>
      <c r="Z45" s="115">
        <v>-175.9</v>
      </c>
      <c r="AA45" s="115">
        <v>-366</v>
      </c>
      <c r="AB45" s="115">
        <v>-531.70000000000005</v>
      </c>
      <c r="AC45" s="115">
        <v>-669.1</v>
      </c>
      <c r="AD45" s="115">
        <v>-100.6</v>
      </c>
      <c r="AE45" s="115">
        <v>-176.8</v>
      </c>
      <c r="AF45" s="115">
        <v>-227.6</v>
      </c>
      <c r="AG45" s="115">
        <v>-280.89999999999998</v>
      </c>
      <c r="AH45" s="115">
        <v>-47</v>
      </c>
    </row>
    <row r="46" spans="1:34" s="123" customFormat="1" ht="20.25" customHeight="1" thickBot="1">
      <c r="A46" s="130" t="s">
        <v>8</v>
      </c>
      <c r="B46" s="124">
        <v>6547.5121739999995</v>
      </c>
      <c r="C46" s="124">
        <v>13143.746300999997</v>
      </c>
      <c r="D46" s="124">
        <v>20184.783586000005</v>
      </c>
      <c r="E46" s="124">
        <v>27821</v>
      </c>
      <c r="F46" s="124">
        <v>7288</v>
      </c>
      <c r="G46" s="124">
        <v>14657</v>
      </c>
      <c r="H46" s="124">
        <v>22240</v>
      </c>
      <c r="I46" s="124">
        <v>30261</v>
      </c>
      <c r="J46" s="124">
        <v>7785</v>
      </c>
      <c r="K46" s="124">
        <v>14688</v>
      </c>
      <c r="L46" s="124">
        <v>21797</v>
      </c>
      <c r="M46" s="124">
        <v>29099</v>
      </c>
      <c r="N46" s="124">
        <v>7266</v>
      </c>
      <c r="O46" s="124">
        <v>14531.49</v>
      </c>
      <c r="P46" s="124">
        <v>22264</v>
      </c>
      <c r="Q46" s="124">
        <v>31083</v>
      </c>
      <c r="R46" s="124">
        <v>9266</v>
      </c>
      <c r="S46" s="124">
        <v>18460</v>
      </c>
      <c r="T46" s="124">
        <v>27603</v>
      </c>
      <c r="U46" s="124">
        <v>36719</v>
      </c>
      <c r="V46" s="124">
        <v>8159</v>
      </c>
      <c r="W46" s="124">
        <v>16663</v>
      </c>
      <c r="X46" s="124">
        <v>25418</v>
      </c>
      <c r="Y46" s="124">
        <v>34583</v>
      </c>
      <c r="Z46" s="124">
        <v>9601.9999999999964</v>
      </c>
      <c r="AA46" s="124">
        <v>19030.099999999999</v>
      </c>
      <c r="AB46" s="124">
        <v>29413.200000000012</v>
      </c>
      <c r="AC46" s="124">
        <v>39811.4</v>
      </c>
      <c r="AD46" s="124">
        <v>10138.099999999999</v>
      </c>
      <c r="AE46" s="124">
        <v>20601.499999999996</v>
      </c>
      <c r="AF46" s="124">
        <v>31235.399999999994</v>
      </c>
      <c r="AG46" s="124">
        <v>42107.900000000009</v>
      </c>
      <c r="AH46" s="124">
        <v>10722.800000000001</v>
      </c>
    </row>
    <row r="47" spans="1:34" ht="27" customHeight="1">
      <c r="A47" s="133" t="s">
        <v>178</v>
      </c>
    </row>
    <row r="48" spans="1:34" ht="27" customHeight="1" thickBot="1">
      <c r="B48" s="13"/>
      <c r="C48" s="13"/>
      <c r="D48" s="13"/>
    </row>
    <row r="49" spans="1:34" ht="20.25" customHeight="1" thickBot="1">
      <c r="A49" s="134" t="s">
        <v>41</v>
      </c>
      <c r="B49" s="122">
        <v>43190</v>
      </c>
      <c r="C49" s="122">
        <v>43281</v>
      </c>
      <c r="D49" s="122">
        <v>43373</v>
      </c>
      <c r="E49" s="122">
        <v>43465</v>
      </c>
      <c r="F49" s="122">
        <v>43555</v>
      </c>
      <c r="G49" s="122">
        <v>43646</v>
      </c>
      <c r="H49" s="122">
        <v>43738</v>
      </c>
      <c r="I49" s="122">
        <v>43830</v>
      </c>
      <c r="J49" s="122">
        <v>43921</v>
      </c>
      <c r="K49" s="122">
        <v>44012</v>
      </c>
      <c r="L49" s="122">
        <v>44104</v>
      </c>
      <c r="M49" s="122">
        <v>44196</v>
      </c>
      <c r="N49" s="122">
        <v>44286</v>
      </c>
      <c r="O49" s="122">
        <v>44377</v>
      </c>
      <c r="P49" s="122">
        <v>44469</v>
      </c>
      <c r="Q49" s="122">
        <v>44561</v>
      </c>
      <c r="R49" s="122">
        <v>44651</v>
      </c>
      <c r="S49" s="122">
        <v>44742</v>
      </c>
      <c r="T49" s="122">
        <v>44834</v>
      </c>
      <c r="U49" s="122">
        <v>44926</v>
      </c>
      <c r="V49" s="122">
        <v>45016</v>
      </c>
      <c r="W49" s="122">
        <v>45107</v>
      </c>
      <c r="X49" s="122">
        <v>45199</v>
      </c>
      <c r="Y49" s="122">
        <v>45291</v>
      </c>
      <c r="Z49" s="122">
        <v>45382</v>
      </c>
      <c r="AA49" s="122">
        <v>45473</v>
      </c>
      <c r="AB49" s="122">
        <v>45565</v>
      </c>
      <c r="AC49" s="122">
        <v>45657</v>
      </c>
      <c r="AD49" s="122">
        <v>45747</v>
      </c>
      <c r="AE49" s="122">
        <v>45838</v>
      </c>
      <c r="AF49" s="122">
        <v>45930</v>
      </c>
      <c r="AG49" s="122">
        <v>46022</v>
      </c>
      <c r="AH49" s="122">
        <v>46112</v>
      </c>
    </row>
    <row r="50" spans="1:34" ht="20.25" customHeight="1">
      <c r="A50" s="113" t="s">
        <v>42</v>
      </c>
      <c r="B50" s="115">
        <v>159527.91139400002</v>
      </c>
      <c r="C50" s="115">
        <v>139810.382709</v>
      </c>
      <c r="D50" s="115">
        <v>26994.531372999998</v>
      </c>
      <c r="E50" s="115">
        <v>63913.649042000005</v>
      </c>
      <c r="F50" s="115">
        <v>51839.014883000003</v>
      </c>
      <c r="G50" s="115">
        <v>54869.446391999998</v>
      </c>
      <c r="H50" s="115">
        <v>66641.253630000007</v>
      </c>
      <c r="I50" s="115">
        <v>40525.684788000006</v>
      </c>
      <c r="J50" s="115">
        <v>142502.227205</v>
      </c>
      <c r="K50" s="115">
        <v>54605.821623999997</v>
      </c>
      <c r="L50" s="115">
        <v>55583.551490999998</v>
      </c>
      <c r="M50" s="115">
        <v>38074.61247</v>
      </c>
      <c r="N50" s="115">
        <v>65919.642418999996</v>
      </c>
      <c r="O50" s="115">
        <v>49248.496669</v>
      </c>
      <c r="P50" s="115">
        <v>47413.630259999998</v>
      </c>
      <c r="Q50" s="115">
        <v>37472.274043000005</v>
      </c>
      <c r="R50" s="115">
        <v>70574.286341999992</v>
      </c>
      <c r="S50" s="115">
        <v>30645.509318999997</v>
      </c>
      <c r="T50" s="115">
        <v>58276.468559999994</v>
      </c>
      <c r="U50" s="115">
        <v>21870</v>
      </c>
      <c r="V50" s="115">
        <v>50995</v>
      </c>
      <c r="W50" s="115">
        <v>46399</v>
      </c>
      <c r="X50" s="115">
        <v>31691</v>
      </c>
      <c r="Y50" s="115">
        <v>27918</v>
      </c>
      <c r="Z50" s="115">
        <v>29253</v>
      </c>
      <c r="AA50" s="115">
        <v>23256</v>
      </c>
      <c r="AB50" s="115">
        <v>30989</v>
      </c>
      <c r="AC50" s="115">
        <v>22958</v>
      </c>
      <c r="AD50" s="115">
        <v>36895</v>
      </c>
      <c r="AE50" s="115">
        <v>96466</v>
      </c>
      <c r="AF50" s="115">
        <v>60706</v>
      </c>
      <c r="AG50" s="115">
        <v>32234</v>
      </c>
      <c r="AH50" s="115">
        <v>66307</v>
      </c>
    </row>
    <row r="51" spans="1:34" ht="20.25" customHeight="1">
      <c r="A51" s="113" t="s">
        <v>117</v>
      </c>
      <c r="B51" s="115">
        <v>10829.274109</v>
      </c>
      <c r="C51" s="115">
        <v>11943.164714</v>
      </c>
      <c r="D51" s="115">
        <v>10795.445471999999</v>
      </c>
      <c r="E51" s="115">
        <v>10311.363508</v>
      </c>
      <c r="F51" s="115">
        <v>10143.492527</v>
      </c>
      <c r="G51" s="115">
        <v>10083.914317000001</v>
      </c>
      <c r="H51" s="115">
        <v>10385.327585999999</v>
      </c>
      <c r="I51" s="115">
        <v>9705.0560590000005</v>
      </c>
      <c r="J51" s="115">
        <v>18227.321931000002</v>
      </c>
      <c r="K51" s="115">
        <v>13669.944047000001</v>
      </c>
      <c r="L51" s="115">
        <v>14631.491271000001</v>
      </c>
      <c r="M51" s="115">
        <v>11381.866482000001</v>
      </c>
      <c r="N51" s="115">
        <v>9410.0833870000006</v>
      </c>
      <c r="O51" s="115">
        <v>8819.2465520000005</v>
      </c>
      <c r="P51" s="115">
        <v>10497.491199</v>
      </c>
      <c r="Q51" s="115">
        <v>15560.795207000001</v>
      </c>
      <c r="R51" s="115">
        <v>20487.505003999999</v>
      </c>
      <c r="S51" s="115">
        <v>23632.855825000002</v>
      </c>
      <c r="T51" s="115">
        <v>27323.855327999998</v>
      </c>
      <c r="U51" s="115">
        <v>28009</v>
      </c>
      <c r="V51" s="115">
        <v>28088</v>
      </c>
      <c r="W51" s="115">
        <v>23356</v>
      </c>
      <c r="X51" s="115">
        <v>20491</v>
      </c>
      <c r="Y51" s="115">
        <v>16662</v>
      </c>
      <c r="Z51" s="115">
        <v>15488</v>
      </c>
      <c r="AA51" s="115">
        <v>14645</v>
      </c>
      <c r="AB51" s="115">
        <v>13881</v>
      </c>
      <c r="AC51" s="115">
        <v>12911</v>
      </c>
      <c r="AD51" s="115">
        <v>11562</v>
      </c>
      <c r="AE51" s="115">
        <v>12759</v>
      </c>
      <c r="AF51" s="115">
        <v>12759</v>
      </c>
      <c r="AG51" s="115">
        <v>10553</v>
      </c>
      <c r="AH51" s="115">
        <v>11970</v>
      </c>
    </row>
    <row r="52" spans="1:34" ht="20.25" customHeight="1">
      <c r="A52" s="113" t="s">
        <v>103</v>
      </c>
      <c r="B52" s="115">
        <v>1135.5645490000002</v>
      </c>
      <c r="C52" s="115">
        <v>1134.660408</v>
      </c>
      <c r="D52" s="115">
        <v>1435.442082</v>
      </c>
      <c r="E52" s="115">
        <v>1451.9449569999999</v>
      </c>
      <c r="F52" s="115">
        <v>1517.509638</v>
      </c>
      <c r="G52" s="115">
        <v>1526.1677810000001</v>
      </c>
      <c r="H52" s="115">
        <v>1494.497578</v>
      </c>
      <c r="I52" s="115">
        <v>3531.389482</v>
      </c>
      <c r="J52" s="115">
        <v>3153.320886</v>
      </c>
      <c r="K52" s="115">
        <v>3314.9765539999999</v>
      </c>
      <c r="L52" s="115">
        <v>2844.2666630000003</v>
      </c>
      <c r="M52" s="115">
        <v>2489.9724409999999</v>
      </c>
      <c r="N52" s="115">
        <v>2308.4960529999998</v>
      </c>
      <c r="O52" s="115">
        <v>2259.5752270000003</v>
      </c>
      <c r="P52" s="115">
        <v>2084.7637119999999</v>
      </c>
      <c r="Q52" s="115">
        <v>2511.133225</v>
      </c>
      <c r="R52" s="115">
        <v>2318.4986130000002</v>
      </c>
      <c r="S52" s="115">
        <v>2736.261117</v>
      </c>
      <c r="T52" s="115">
        <v>3502.659541</v>
      </c>
      <c r="U52" s="115">
        <v>3331</v>
      </c>
      <c r="V52" s="115">
        <v>2634</v>
      </c>
      <c r="W52" s="115">
        <v>3207</v>
      </c>
      <c r="X52" s="115">
        <v>3408</v>
      </c>
      <c r="Y52" s="115">
        <v>3798</v>
      </c>
      <c r="Z52" s="115">
        <v>3440</v>
      </c>
      <c r="AA52" s="115">
        <v>3722</v>
      </c>
      <c r="AB52" s="115">
        <v>4039</v>
      </c>
      <c r="AC52" s="115">
        <v>2895</v>
      </c>
      <c r="AD52" s="115">
        <v>1661</v>
      </c>
      <c r="AE52" s="115">
        <v>1868</v>
      </c>
      <c r="AF52" s="115">
        <v>2068</v>
      </c>
      <c r="AG52" s="115">
        <v>2221</v>
      </c>
      <c r="AH52" s="115">
        <v>1862</v>
      </c>
    </row>
    <row r="53" spans="1:34" ht="20.25" customHeight="1">
      <c r="A53" s="118" t="s">
        <v>122</v>
      </c>
      <c r="B53" s="115">
        <v>0</v>
      </c>
      <c r="C53" s="115">
        <v>0</v>
      </c>
      <c r="D53" s="115">
        <v>0</v>
      </c>
      <c r="E53" s="115">
        <v>0</v>
      </c>
      <c r="F53" s="115">
        <v>0</v>
      </c>
      <c r="G53" s="115">
        <v>0</v>
      </c>
      <c r="H53" s="115">
        <v>0</v>
      </c>
      <c r="I53" s="115">
        <v>644.86200600000006</v>
      </c>
      <c r="J53" s="115">
        <v>23.201139999999999</v>
      </c>
      <c r="K53" s="115">
        <v>203.08204000000001</v>
      </c>
      <c r="L53" s="115">
        <v>367.45072199999998</v>
      </c>
      <c r="M53" s="115">
        <v>442.64211999999998</v>
      </c>
      <c r="N53" s="115">
        <v>242.034064</v>
      </c>
      <c r="O53" s="115">
        <v>341.96239500000001</v>
      </c>
      <c r="P53" s="115">
        <v>509.31281899999999</v>
      </c>
      <c r="Q53" s="115">
        <v>744.09254099999998</v>
      </c>
      <c r="R53" s="115">
        <v>482.30002200000001</v>
      </c>
      <c r="S53" s="115">
        <v>1013.7832099999999</v>
      </c>
      <c r="T53" s="115">
        <v>1229.6691519999999</v>
      </c>
      <c r="U53" s="115">
        <v>1383</v>
      </c>
      <c r="V53" s="115">
        <v>240</v>
      </c>
      <c r="W53" s="115">
        <v>501</v>
      </c>
      <c r="X53" s="115">
        <v>685</v>
      </c>
      <c r="Y53" s="115">
        <v>856</v>
      </c>
      <c r="Z53" s="115">
        <v>196</v>
      </c>
      <c r="AA53" s="115">
        <v>307</v>
      </c>
      <c r="AB53" s="115">
        <v>468</v>
      </c>
      <c r="AC53" s="115">
        <v>691</v>
      </c>
      <c r="AD53" s="115">
        <v>181</v>
      </c>
      <c r="AE53" s="115">
        <v>353</v>
      </c>
      <c r="AF53" s="115">
        <v>509</v>
      </c>
      <c r="AG53" s="115">
        <v>659</v>
      </c>
      <c r="AH53" s="115">
        <v>250</v>
      </c>
    </row>
    <row r="54" spans="1:34" ht="20.25" customHeight="1">
      <c r="A54" s="118" t="s">
        <v>110</v>
      </c>
      <c r="B54" s="115">
        <v>65.788660000000007</v>
      </c>
      <c r="C54" s="115">
        <v>66.597135999999992</v>
      </c>
      <c r="D54" s="115">
        <v>67.407354999999995</v>
      </c>
      <c r="E54" s="115">
        <v>68.507264000000006</v>
      </c>
      <c r="F54" s="115">
        <v>70.505813000000003</v>
      </c>
      <c r="G54" s="115">
        <v>70.983817999999999</v>
      </c>
      <c r="H54" s="115">
        <v>72.400554</v>
      </c>
      <c r="I54" s="115">
        <v>795.372703</v>
      </c>
      <c r="J54" s="115">
        <v>855.3151949999999</v>
      </c>
      <c r="K54" s="115">
        <v>837.003781</v>
      </c>
      <c r="L54" s="115">
        <v>0</v>
      </c>
      <c r="M54" s="115">
        <v>40</v>
      </c>
      <c r="N54" s="115">
        <v>0</v>
      </c>
      <c r="O54" s="115">
        <v>0</v>
      </c>
      <c r="P54" s="115">
        <v>0</v>
      </c>
      <c r="Q54" s="115">
        <v>0</v>
      </c>
      <c r="R54" s="115">
        <v>26.770869999999999</v>
      </c>
      <c r="S54" s="115">
        <v>15.754918999999999</v>
      </c>
      <c r="T54" s="115">
        <v>15.895402000000001</v>
      </c>
      <c r="U54" s="115">
        <v>19</v>
      </c>
      <c r="V54" s="115">
        <v>24</v>
      </c>
      <c r="W54" s="115">
        <v>35</v>
      </c>
      <c r="X54" s="115">
        <v>38</v>
      </c>
      <c r="Y54" s="115">
        <v>14</v>
      </c>
      <c r="Z54" s="115">
        <v>10</v>
      </c>
      <c r="AA54" s="115">
        <v>10</v>
      </c>
      <c r="AB54" s="115">
        <v>10</v>
      </c>
      <c r="AC54" s="115">
        <v>9</v>
      </c>
      <c r="AD54" s="115">
        <v>9</v>
      </c>
      <c r="AE54" s="115">
        <v>9</v>
      </c>
      <c r="AF54" s="115">
        <v>29</v>
      </c>
      <c r="AG54" s="115">
        <v>34</v>
      </c>
      <c r="AH54" s="115">
        <v>36</v>
      </c>
    </row>
    <row r="55" spans="1:34" ht="20.25" customHeight="1">
      <c r="A55" s="113" t="s">
        <v>104</v>
      </c>
      <c r="B55" s="115">
        <v>52098.590587999999</v>
      </c>
      <c r="C55" s="115">
        <v>52408.602093999994</v>
      </c>
      <c r="D55" s="115">
        <v>47837.406280000003</v>
      </c>
      <c r="E55" s="115">
        <v>39627.148027000003</v>
      </c>
      <c r="F55" s="115">
        <v>40661.290161999998</v>
      </c>
      <c r="G55" s="115">
        <v>40771.493319000001</v>
      </c>
      <c r="H55" s="115">
        <v>24214.989513</v>
      </c>
      <c r="I55" s="115">
        <v>21165.745503000002</v>
      </c>
      <c r="J55" s="115">
        <v>21796.605403999998</v>
      </c>
      <c r="K55" s="115">
        <v>21595.522675</v>
      </c>
      <c r="L55" s="115">
        <v>22743.686581999998</v>
      </c>
      <c r="M55" s="115">
        <v>20838.105596999998</v>
      </c>
      <c r="N55" s="115">
        <v>25330.258534000001</v>
      </c>
      <c r="O55" s="115">
        <v>32105.842511999999</v>
      </c>
      <c r="P55" s="115">
        <v>31566.008843000003</v>
      </c>
      <c r="Q55" s="115">
        <v>31132.074139</v>
      </c>
      <c r="R55" s="115">
        <v>41539.309488999999</v>
      </c>
      <c r="S55" s="115">
        <v>45142.047161999995</v>
      </c>
      <c r="T55" s="115">
        <v>43271.823764000008</v>
      </c>
      <c r="U55" s="115">
        <v>48434</v>
      </c>
      <c r="V55" s="115">
        <v>52970</v>
      </c>
      <c r="W55" s="115">
        <v>52741</v>
      </c>
      <c r="X55" s="115">
        <v>53549</v>
      </c>
      <c r="Y55" s="115">
        <v>53432</v>
      </c>
      <c r="Z55" s="115">
        <v>52308</v>
      </c>
      <c r="AA55" s="115">
        <v>51655</v>
      </c>
      <c r="AB55" s="115">
        <v>52484</v>
      </c>
      <c r="AC55" s="115">
        <v>52258</v>
      </c>
      <c r="AD55" s="115">
        <v>51132</v>
      </c>
      <c r="AE55" s="115">
        <v>50769</v>
      </c>
      <c r="AF55" s="115">
        <v>49189</v>
      </c>
      <c r="AG55" s="115">
        <v>48039</v>
      </c>
      <c r="AH55" s="115">
        <v>31933</v>
      </c>
    </row>
    <row r="56" spans="1:34" ht="20.25" customHeight="1">
      <c r="A56" s="113" t="s">
        <v>105</v>
      </c>
      <c r="B56" s="115">
        <v>1055385.187806</v>
      </c>
      <c r="C56" s="115">
        <v>1202797.4918209999</v>
      </c>
      <c r="D56" s="115">
        <v>1281478.4832640002</v>
      </c>
      <c r="E56" s="115">
        <v>1281034.4078289999</v>
      </c>
      <c r="F56" s="115">
        <v>1359118.443403</v>
      </c>
      <c r="G56" s="115">
        <v>1363933.500669</v>
      </c>
      <c r="H56" s="115">
        <v>1439068.3750380001</v>
      </c>
      <c r="I56" s="115">
        <v>1351296.467833</v>
      </c>
      <c r="J56" s="115">
        <v>1468805.3999650001</v>
      </c>
      <c r="K56" s="115">
        <v>1538938.6208070002</v>
      </c>
      <c r="L56" s="115">
        <v>1511587.8935180001</v>
      </c>
      <c r="M56" s="115">
        <v>1428952.664817</v>
      </c>
      <c r="N56" s="115">
        <v>1572990.500673</v>
      </c>
      <c r="O56" s="115">
        <v>1542961.9408779999</v>
      </c>
      <c r="P56" s="115">
        <v>1656150.8186269999</v>
      </c>
      <c r="Q56" s="115">
        <v>1512347.9637270002</v>
      </c>
      <c r="R56" s="115">
        <v>1696076.1558800002</v>
      </c>
      <c r="S56" s="115">
        <v>1696374.3822189998</v>
      </c>
      <c r="T56" s="115">
        <v>1661769.6658900003</v>
      </c>
      <c r="U56" s="115">
        <v>1495014</v>
      </c>
      <c r="V56" s="115">
        <v>1668314</v>
      </c>
      <c r="W56" s="115">
        <v>1747976</v>
      </c>
      <c r="X56" s="115">
        <v>1725885</v>
      </c>
      <c r="Y56" s="115">
        <v>1653124</v>
      </c>
      <c r="Z56" s="115">
        <v>1877570</v>
      </c>
      <c r="AA56" s="115">
        <v>1915613</v>
      </c>
      <c r="AB56" s="115">
        <v>1906003</v>
      </c>
      <c r="AC56" s="115">
        <v>1892087</v>
      </c>
      <c r="AD56" s="115">
        <v>1907279</v>
      </c>
      <c r="AE56" s="115">
        <v>1866671</v>
      </c>
      <c r="AF56" s="115">
        <v>1924022</v>
      </c>
      <c r="AG56" s="115">
        <v>1893693</v>
      </c>
      <c r="AH56" s="115">
        <v>2066892</v>
      </c>
    </row>
    <row r="57" spans="1:34" ht="20.25" customHeight="1">
      <c r="A57" s="118" t="s">
        <v>191</v>
      </c>
      <c r="B57" s="115">
        <v>178038.120054</v>
      </c>
      <c r="C57" s="115">
        <v>186045.06419800001</v>
      </c>
      <c r="D57" s="115">
        <v>194758.25024000002</v>
      </c>
      <c r="E57" s="115">
        <v>205551.07609599998</v>
      </c>
      <c r="F57" s="115">
        <v>217312.33382900001</v>
      </c>
      <c r="G57" s="115">
        <v>224484.65367</v>
      </c>
      <c r="H57" s="115">
        <v>224315.92045800001</v>
      </c>
      <c r="I57" s="115">
        <v>218906.737723</v>
      </c>
      <c r="J57" s="115">
        <v>243394.90777000002</v>
      </c>
      <c r="K57" s="115">
        <v>254607.78229800001</v>
      </c>
      <c r="L57" s="115">
        <v>243010.33569100001</v>
      </c>
      <c r="M57" s="115">
        <v>254700.12771200002</v>
      </c>
      <c r="N57" s="115">
        <v>274409.03823799995</v>
      </c>
      <c r="O57" s="115">
        <v>306589.60404299997</v>
      </c>
      <c r="P57" s="115">
        <v>305741.94259300001</v>
      </c>
      <c r="Q57" s="115">
        <v>325513.51835000003</v>
      </c>
      <c r="R57" s="115">
        <v>337663.1607810001</v>
      </c>
      <c r="S57" s="115">
        <v>340101.12756300002</v>
      </c>
      <c r="T57" s="115">
        <v>355223.28640700015</v>
      </c>
      <c r="U57" s="115">
        <v>327805</v>
      </c>
      <c r="V57" s="115">
        <v>355356</v>
      </c>
      <c r="W57" s="115">
        <v>369974</v>
      </c>
      <c r="X57" s="115">
        <v>360884</v>
      </c>
      <c r="Y57" s="115">
        <v>352299</v>
      </c>
      <c r="Z57" s="115">
        <v>361990</v>
      </c>
      <c r="AA57" s="115">
        <v>355308</v>
      </c>
      <c r="AB57" s="115">
        <v>357027</v>
      </c>
      <c r="AC57" s="115">
        <v>372456</v>
      </c>
      <c r="AD57" s="115">
        <v>394034</v>
      </c>
      <c r="AE57" s="115">
        <v>403575</v>
      </c>
      <c r="AF57" s="115">
        <v>397489</v>
      </c>
      <c r="AG57" s="115">
        <v>401663</v>
      </c>
      <c r="AH57" s="115">
        <v>415719</v>
      </c>
    </row>
    <row r="58" spans="1:34" ht="20.25" customHeight="1">
      <c r="A58" s="118" t="s">
        <v>192</v>
      </c>
      <c r="B58" s="115">
        <v>208394.486336</v>
      </c>
      <c r="C58" s="115">
        <v>320701.490743</v>
      </c>
      <c r="D58" s="115">
        <v>375088.178166</v>
      </c>
      <c r="E58" s="115">
        <v>389843.90077300003</v>
      </c>
      <c r="F58" s="115">
        <v>431895.09462699998</v>
      </c>
      <c r="G58" s="115">
        <v>413822.12730400002</v>
      </c>
      <c r="H58" s="115">
        <v>489476.03943900001</v>
      </c>
      <c r="I58" s="115">
        <v>411650.301584</v>
      </c>
      <c r="J58" s="115">
        <v>464428.27030500001</v>
      </c>
      <c r="K58" s="115">
        <v>528053.05043000006</v>
      </c>
      <c r="L58" s="115">
        <v>508112.84330299997</v>
      </c>
      <c r="M58" s="115">
        <v>424837.83008099999</v>
      </c>
      <c r="N58" s="115">
        <v>537067.70586400002</v>
      </c>
      <c r="O58" s="115">
        <v>449326.10065699997</v>
      </c>
      <c r="P58" s="115">
        <v>545040.06916099996</v>
      </c>
      <c r="Q58" s="115">
        <v>364993.84863899997</v>
      </c>
      <c r="R58" s="115">
        <v>517898.39901300002</v>
      </c>
      <c r="S58" s="115">
        <v>490923.12166299997</v>
      </c>
      <c r="T58" s="115">
        <v>407992.51823999995</v>
      </c>
      <c r="U58" s="115">
        <v>266675</v>
      </c>
      <c r="V58" s="115">
        <v>408450</v>
      </c>
      <c r="W58" s="115">
        <v>424968</v>
      </c>
      <c r="X58" s="115">
        <v>393444</v>
      </c>
      <c r="Y58" s="115">
        <v>304007</v>
      </c>
      <c r="Z58" s="115">
        <v>502005</v>
      </c>
      <c r="AA58" s="115">
        <v>528828</v>
      </c>
      <c r="AB58" s="115">
        <v>490882</v>
      </c>
      <c r="AC58" s="115">
        <v>443389</v>
      </c>
      <c r="AD58" s="115">
        <v>425468</v>
      </c>
      <c r="AE58" s="115">
        <v>349624</v>
      </c>
      <c r="AF58" s="115">
        <v>379124</v>
      </c>
      <c r="AG58" s="115">
        <v>329062</v>
      </c>
      <c r="AH58" s="115">
        <v>460620</v>
      </c>
    </row>
    <row r="59" spans="1:34" ht="20.25" customHeight="1">
      <c r="A59" s="118" t="s">
        <v>193</v>
      </c>
      <c r="B59" s="115">
        <v>668952.58141600015</v>
      </c>
      <c r="C59" s="115">
        <v>696050.75688</v>
      </c>
      <c r="D59" s="115">
        <v>711632.20486099995</v>
      </c>
      <c r="E59" s="115">
        <v>685639.43096000003</v>
      </c>
      <c r="F59" s="115">
        <v>709911.01494699996</v>
      </c>
      <c r="G59" s="115">
        <v>725626.63969500002</v>
      </c>
      <c r="H59" s="115">
        <v>725276.41514099995</v>
      </c>
      <c r="I59" s="115">
        <v>720739.428526</v>
      </c>
      <c r="J59" s="115">
        <v>760982.22189000004</v>
      </c>
      <c r="K59" s="115">
        <v>756277.78807900008</v>
      </c>
      <c r="L59" s="115">
        <v>760464.71452400007</v>
      </c>
      <c r="M59" s="115">
        <v>749414.707024</v>
      </c>
      <c r="N59" s="115">
        <v>761513.66657100013</v>
      </c>
      <c r="O59" s="115">
        <v>787046.23617799999</v>
      </c>
      <c r="P59" s="115">
        <v>805368.80687299976</v>
      </c>
      <c r="Q59" s="115">
        <v>821840.49673800007</v>
      </c>
      <c r="R59" s="115">
        <v>840514.59608600009</v>
      </c>
      <c r="S59" s="115">
        <v>865350.13299299986</v>
      </c>
      <c r="T59" s="115">
        <v>898553.86124300025</v>
      </c>
      <c r="U59" s="115">
        <v>900534</v>
      </c>
      <c r="V59" s="115">
        <v>904508</v>
      </c>
      <c r="W59" s="115">
        <v>953034</v>
      </c>
      <c r="X59" s="115">
        <v>971557</v>
      </c>
      <c r="Y59" s="115">
        <v>996818</v>
      </c>
      <c r="Z59" s="115">
        <v>1013575</v>
      </c>
      <c r="AA59" s="115">
        <v>1031477</v>
      </c>
      <c r="AB59" s="115">
        <v>1058094</v>
      </c>
      <c r="AC59" s="115">
        <v>1076242</v>
      </c>
      <c r="AD59" s="115">
        <v>1087777</v>
      </c>
      <c r="AE59" s="115">
        <v>1113472</v>
      </c>
      <c r="AF59" s="115">
        <v>1147409</v>
      </c>
      <c r="AG59" s="115">
        <v>1162968</v>
      </c>
      <c r="AH59" s="115">
        <v>1190553</v>
      </c>
    </row>
    <row r="60" spans="1:34" ht="20.25" customHeight="1">
      <c r="A60" s="113" t="s">
        <v>106</v>
      </c>
      <c r="B60" s="115">
        <v>1931.4691899999996</v>
      </c>
      <c r="C60" s="115">
        <v>2065.7279119999998</v>
      </c>
      <c r="D60" s="115">
        <v>2085.9601950000001</v>
      </c>
      <c r="E60" s="115">
        <v>2006.157825</v>
      </c>
      <c r="F60" s="115">
        <v>1963.230824</v>
      </c>
      <c r="G60" s="115">
        <v>1971.046116</v>
      </c>
      <c r="H60" s="115">
        <v>1935.710321</v>
      </c>
      <c r="I60" s="115">
        <v>1874.5770130000001</v>
      </c>
      <c r="J60" s="115">
        <v>1796.133744</v>
      </c>
      <c r="K60" s="115">
        <v>1650.7745910000001</v>
      </c>
      <c r="L60" s="115">
        <v>1571.5013309999999</v>
      </c>
      <c r="M60" s="115">
        <v>1411.4991520000001</v>
      </c>
      <c r="N60" s="115">
        <v>1267.7675220000001</v>
      </c>
      <c r="O60" s="115">
        <v>1147.3713359999997</v>
      </c>
      <c r="P60" s="115">
        <v>1082.772813</v>
      </c>
      <c r="Q60" s="115">
        <v>1082.7109680000003</v>
      </c>
      <c r="R60" s="115">
        <v>975.162147</v>
      </c>
      <c r="S60" s="115">
        <v>864.82489300000032</v>
      </c>
      <c r="T60" s="115">
        <v>832.49</v>
      </c>
      <c r="U60" s="115">
        <v>1474</v>
      </c>
      <c r="V60" s="115">
        <v>1446.5636990000003</v>
      </c>
      <c r="W60" s="115">
        <v>1425</v>
      </c>
      <c r="X60" s="115">
        <v>1481</v>
      </c>
      <c r="Y60" s="115">
        <v>1467</v>
      </c>
      <c r="Z60" s="115">
        <v>1492</v>
      </c>
      <c r="AA60" s="115">
        <v>1520</v>
      </c>
      <c r="AB60" s="115">
        <v>1493</v>
      </c>
      <c r="AC60" s="115">
        <v>1501</v>
      </c>
      <c r="AD60" s="115">
        <v>1426</v>
      </c>
      <c r="AE60" s="115">
        <v>1422</v>
      </c>
      <c r="AF60" s="115">
        <v>1428</v>
      </c>
      <c r="AG60" s="115">
        <v>1456</v>
      </c>
      <c r="AH60" s="115">
        <v>1435</v>
      </c>
    </row>
    <row r="61" spans="1:34" ht="20.25" customHeight="1">
      <c r="A61" s="113" t="s">
        <v>107</v>
      </c>
      <c r="B61" s="115">
        <v>589.39726300000007</v>
      </c>
      <c r="C61" s="115">
        <v>184.23429300000001</v>
      </c>
      <c r="D61" s="115">
        <v>158.23632900000001</v>
      </c>
      <c r="E61" s="115">
        <v>1151.7977620000001</v>
      </c>
      <c r="F61" s="115">
        <v>1181.8874640000001</v>
      </c>
      <c r="G61" s="115">
        <v>1777.4194730000002</v>
      </c>
      <c r="H61" s="115">
        <v>1663.131198</v>
      </c>
      <c r="I61" s="115">
        <v>980.02495499999998</v>
      </c>
      <c r="J61" s="115">
        <v>3269.694825</v>
      </c>
      <c r="K61" s="115">
        <v>4229.4815370000006</v>
      </c>
      <c r="L61" s="115">
        <v>3870.0880769999999</v>
      </c>
      <c r="M61" s="115">
        <v>2666.3685809999997</v>
      </c>
      <c r="N61" s="115">
        <v>1665.0255889999999</v>
      </c>
      <c r="O61" s="115">
        <v>1470.2565770000001</v>
      </c>
      <c r="P61" s="115">
        <v>676.58982000000003</v>
      </c>
      <c r="Q61" s="115">
        <v>597.32733799999994</v>
      </c>
      <c r="R61" s="115">
        <v>876.20919800000001</v>
      </c>
      <c r="S61" s="115">
        <v>517.74996799999997</v>
      </c>
      <c r="T61" s="115">
        <v>1610.1465020000001</v>
      </c>
      <c r="U61" s="115">
        <v>3218</v>
      </c>
      <c r="V61" s="115">
        <v>4228</v>
      </c>
      <c r="W61" s="115">
        <v>4286</v>
      </c>
      <c r="X61" s="115">
        <v>3721.8736399999998</v>
      </c>
      <c r="Y61" s="115">
        <v>3232</v>
      </c>
      <c r="Z61" s="115">
        <v>2510</v>
      </c>
      <c r="AA61" s="115">
        <v>3036</v>
      </c>
      <c r="AB61" s="115">
        <v>3270</v>
      </c>
      <c r="AC61" s="115">
        <v>2922</v>
      </c>
      <c r="AD61" s="115">
        <v>2984</v>
      </c>
      <c r="AE61" s="115">
        <v>3472</v>
      </c>
      <c r="AF61" s="115">
        <v>3091</v>
      </c>
      <c r="AG61" s="115">
        <v>3143</v>
      </c>
      <c r="AH61" s="115">
        <v>2577</v>
      </c>
    </row>
    <row r="62" spans="1:34" ht="20.25" customHeight="1">
      <c r="A62" s="113" t="s">
        <v>123</v>
      </c>
      <c r="B62" s="115">
        <v>9309.4845089999999</v>
      </c>
      <c r="C62" s="115">
        <v>9301.5440529999996</v>
      </c>
      <c r="D62" s="115">
        <v>8490.4913939999988</v>
      </c>
      <c r="E62" s="115">
        <v>9396.0295449999994</v>
      </c>
      <c r="F62" s="115">
        <v>11972.190519</v>
      </c>
      <c r="G62" s="115">
        <v>11716.012782</v>
      </c>
      <c r="H62" s="115">
        <v>11603.528216000001</v>
      </c>
      <c r="I62" s="115">
        <v>12542.532363</v>
      </c>
      <c r="J62" s="115">
        <v>12236.341638</v>
      </c>
      <c r="K62" s="115">
        <v>11922.050161000001</v>
      </c>
      <c r="L62" s="115">
        <v>11754.726865000001</v>
      </c>
      <c r="M62" s="115">
        <v>12734.725854</v>
      </c>
      <c r="N62" s="115">
        <v>12457.07948</v>
      </c>
      <c r="O62" s="115">
        <v>12247.492452999997</v>
      </c>
      <c r="P62" s="115">
        <v>12114.435923000001</v>
      </c>
      <c r="Q62" s="115">
        <v>12201.267082000002</v>
      </c>
      <c r="R62" s="115">
        <v>11988.086207</v>
      </c>
      <c r="S62" s="115">
        <v>11562.445077</v>
      </c>
      <c r="T62" s="115">
        <v>11677.490454999999</v>
      </c>
      <c r="U62" s="115">
        <v>12031</v>
      </c>
      <c r="V62" s="115">
        <v>12077</v>
      </c>
      <c r="W62" s="115">
        <v>11851</v>
      </c>
      <c r="X62" s="115">
        <v>11643</v>
      </c>
      <c r="Y62" s="115">
        <v>12159</v>
      </c>
      <c r="Z62" s="115">
        <v>14342</v>
      </c>
      <c r="AA62" s="115">
        <v>14266</v>
      </c>
      <c r="AB62" s="115">
        <v>12578</v>
      </c>
      <c r="AC62" s="115">
        <v>13153</v>
      </c>
      <c r="AD62" s="115">
        <v>13199</v>
      </c>
      <c r="AE62" s="115">
        <v>13230</v>
      </c>
      <c r="AF62" s="115">
        <v>13475</v>
      </c>
      <c r="AG62" s="115">
        <v>14889</v>
      </c>
      <c r="AH62" s="115">
        <v>14819</v>
      </c>
    </row>
    <row r="63" spans="1:34" ht="20.25" customHeight="1">
      <c r="A63" s="113" t="s">
        <v>124</v>
      </c>
      <c r="B63" s="115">
        <v>2372</v>
      </c>
      <c r="C63" s="115">
        <v>2372</v>
      </c>
      <c r="D63" s="115">
        <v>2327</v>
      </c>
      <c r="E63" s="115">
        <v>2327</v>
      </c>
      <c r="F63" s="115">
        <v>2327</v>
      </c>
      <c r="G63" s="115">
        <v>2327</v>
      </c>
      <c r="H63" s="115">
        <v>2282</v>
      </c>
      <c r="I63" s="115">
        <v>2282</v>
      </c>
      <c r="J63" s="115">
        <v>2282</v>
      </c>
      <c r="K63" s="115">
        <v>2282</v>
      </c>
      <c r="L63" s="115">
        <v>2282</v>
      </c>
      <c r="M63" s="115">
        <v>2282</v>
      </c>
      <c r="N63" s="115">
        <v>2282</v>
      </c>
      <c r="O63" s="115">
        <v>2282</v>
      </c>
      <c r="P63" s="115">
        <v>2238.0001849999999</v>
      </c>
      <c r="Q63" s="115">
        <v>2221.2111400000003</v>
      </c>
      <c r="R63" s="115">
        <v>2205.4451159999999</v>
      </c>
      <c r="S63" s="115">
        <v>2197.3422149999997</v>
      </c>
      <c r="T63" s="115">
        <v>1818.0002890000001</v>
      </c>
      <c r="U63" s="115">
        <v>1803</v>
      </c>
      <c r="V63" s="115">
        <v>1796</v>
      </c>
      <c r="W63" s="115">
        <v>1787</v>
      </c>
      <c r="X63" s="115">
        <v>1760</v>
      </c>
      <c r="Y63" s="115">
        <v>1748</v>
      </c>
      <c r="Z63" s="115">
        <v>1736</v>
      </c>
      <c r="AA63" s="115">
        <v>1723</v>
      </c>
      <c r="AB63" s="115">
        <v>0</v>
      </c>
      <c r="AC63" s="115">
        <v>1449</v>
      </c>
      <c r="AD63" s="115">
        <v>2379</v>
      </c>
      <c r="AE63" s="115">
        <v>3485</v>
      </c>
      <c r="AF63" s="115">
        <v>3549</v>
      </c>
      <c r="AG63" s="115">
        <v>3634</v>
      </c>
      <c r="AH63" s="115">
        <v>4154</v>
      </c>
    </row>
    <row r="64" spans="1:34" ht="20.25" customHeight="1">
      <c r="A64" s="113" t="s">
        <v>54</v>
      </c>
      <c r="B64" s="115">
        <v>4757.7536150000005</v>
      </c>
      <c r="C64" s="115">
        <v>4885.1828650000007</v>
      </c>
      <c r="D64" s="115">
        <v>4938.2764310000002</v>
      </c>
      <c r="E64" s="115">
        <v>5246.7893320000003</v>
      </c>
      <c r="F64" s="115">
        <v>5164.909439</v>
      </c>
      <c r="G64" s="115">
        <v>5261.9786109999995</v>
      </c>
      <c r="H64" s="115">
        <v>5358.3219079999999</v>
      </c>
      <c r="I64" s="115">
        <v>5801.4756579999994</v>
      </c>
      <c r="J64" s="115">
        <v>5659.3426840000002</v>
      </c>
      <c r="K64" s="115">
        <v>5670.622241</v>
      </c>
      <c r="L64" s="115">
        <v>5788.28881</v>
      </c>
      <c r="M64" s="115">
        <v>6083.4537330000003</v>
      </c>
      <c r="N64" s="115">
        <v>5926.4716670000007</v>
      </c>
      <c r="O64" s="115">
        <v>5923.766509000001</v>
      </c>
      <c r="P64" s="115">
        <v>5915.8391490000004</v>
      </c>
      <c r="Q64" s="115">
        <v>6301.1596360000003</v>
      </c>
      <c r="R64" s="115">
        <v>6125.3739489999989</v>
      </c>
      <c r="S64" s="115">
        <v>6045.0942779999987</v>
      </c>
      <c r="T64" s="115">
        <v>6005.7015060000003</v>
      </c>
      <c r="U64" s="115">
        <v>6417</v>
      </c>
      <c r="V64" s="115">
        <v>6240</v>
      </c>
      <c r="W64" s="115">
        <v>6258</v>
      </c>
      <c r="X64" s="115">
        <v>6375</v>
      </c>
      <c r="Y64" s="115">
        <v>6407</v>
      </c>
      <c r="Z64" s="115">
        <v>6259</v>
      </c>
      <c r="AA64" s="115">
        <v>6364</v>
      </c>
      <c r="AB64" s="115">
        <v>6534</v>
      </c>
      <c r="AC64" s="115">
        <v>6600</v>
      </c>
      <c r="AD64" s="115">
        <v>6474</v>
      </c>
      <c r="AE64" s="115">
        <v>6506</v>
      </c>
      <c r="AF64" s="115">
        <v>6499</v>
      </c>
      <c r="AG64" s="115">
        <v>6457</v>
      </c>
      <c r="AH64" s="115">
        <v>6260</v>
      </c>
    </row>
    <row r="65" spans="1:34" ht="20.25" customHeight="1">
      <c r="A65" s="113" t="s">
        <v>119</v>
      </c>
      <c r="B65" s="115">
        <v>758.68378899999993</v>
      </c>
      <c r="C65" s="115">
        <v>764.60577499999999</v>
      </c>
      <c r="D65" s="115">
        <v>786.71761600000002</v>
      </c>
      <c r="E65" s="115">
        <v>823.77450800000008</v>
      </c>
      <c r="F65" s="115">
        <v>837.40625799999998</v>
      </c>
      <c r="G65" s="115">
        <v>865.53129000000001</v>
      </c>
      <c r="H65" s="115">
        <v>859.731582</v>
      </c>
      <c r="I65" s="115">
        <v>929.27727599999992</v>
      </c>
      <c r="J65" s="115">
        <v>946.23220700000002</v>
      </c>
      <c r="K65" s="115">
        <v>930.53271699999993</v>
      </c>
      <c r="L65" s="115">
        <v>958.60989599999994</v>
      </c>
      <c r="M65" s="115">
        <v>980.97566200000006</v>
      </c>
      <c r="N65" s="115">
        <v>974.53757999999993</v>
      </c>
      <c r="O65" s="115">
        <v>933.12065399999983</v>
      </c>
      <c r="P65" s="115">
        <v>990.40548999999976</v>
      </c>
      <c r="Q65" s="115">
        <v>1356.509824</v>
      </c>
      <c r="R65" s="115">
        <v>1315.5040219999996</v>
      </c>
      <c r="S65" s="115">
        <v>1383.2219729999997</v>
      </c>
      <c r="T65" s="115">
        <v>1428.1362729999996</v>
      </c>
      <c r="U65" s="115">
        <v>1437</v>
      </c>
      <c r="V65" s="115">
        <v>1452</v>
      </c>
      <c r="W65" s="115">
        <v>1518</v>
      </c>
      <c r="X65" s="115">
        <v>1576</v>
      </c>
      <c r="Y65" s="115">
        <v>1649</v>
      </c>
      <c r="Z65" s="115">
        <v>1663</v>
      </c>
      <c r="AA65" s="115">
        <v>1720</v>
      </c>
      <c r="AB65" s="115">
        <v>1763</v>
      </c>
      <c r="AC65" s="115">
        <v>1895</v>
      </c>
      <c r="AD65" s="115">
        <v>1929</v>
      </c>
      <c r="AE65" s="115">
        <v>1988</v>
      </c>
      <c r="AF65" s="115">
        <v>2054</v>
      </c>
      <c r="AG65" s="115">
        <v>2793</v>
      </c>
      <c r="AH65" s="115">
        <v>2810</v>
      </c>
    </row>
    <row r="66" spans="1:34" ht="20.25" customHeight="1">
      <c r="A66" s="113" t="s">
        <v>55</v>
      </c>
      <c r="B66" s="115">
        <v>420.89881400000002</v>
      </c>
      <c r="C66" s="115">
        <v>344.00347600000003</v>
      </c>
      <c r="D66" s="115">
        <v>184.752554</v>
      </c>
      <c r="E66" s="115">
        <v>499.02584899999999</v>
      </c>
      <c r="F66" s="115">
        <v>595.59238500000004</v>
      </c>
      <c r="G66" s="115">
        <v>526.976632</v>
      </c>
      <c r="H66" s="115">
        <v>274.99854999999997</v>
      </c>
      <c r="I66" s="115">
        <v>8.6413460000000004</v>
      </c>
      <c r="J66" s="115">
        <v>45.041936999999997</v>
      </c>
      <c r="K66" s="115">
        <v>1317.3949359999999</v>
      </c>
      <c r="L66" s="115">
        <v>1643.8241839999998</v>
      </c>
      <c r="M66" s="115">
        <v>1416.8379850000001</v>
      </c>
      <c r="N66" s="115">
        <v>2056.4952630000003</v>
      </c>
      <c r="O66" s="115">
        <v>2040.970118</v>
      </c>
      <c r="P66" s="115">
        <v>1753.106847</v>
      </c>
      <c r="Q66" s="115">
        <v>1042.3317159999999</v>
      </c>
      <c r="R66" s="115">
        <v>842.77603499999987</v>
      </c>
      <c r="S66" s="115">
        <v>399.68045499999994</v>
      </c>
      <c r="T66" s="115">
        <v>416.07181800000001</v>
      </c>
      <c r="U66" s="115">
        <v>445</v>
      </c>
      <c r="V66" s="115">
        <v>293</v>
      </c>
      <c r="W66" s="115">
        <v>417</v>
      </c>
      <c r="X66" s="115">
        <v>430</v>
      </c>
      <c r="Y66" s="115">
        <v>545</v>
      </c>
      <c r="Z66" s="115">
        <v>623</v>
      </c>
      <c r="AA66" s="115">
        <v>296</v>
      </c>
      <c r="AB66" s="115">
        <v>212</v>
      </c>
      <c r="AC66" s="115">
        <v>5</v>
      </c>
      <c r="AD66" s="115">
        <v>22</v>
      </c>
      <c r="AE66" s="115">
        <v>150</v>
      </c>
      <c r="AF66" s="115">
        <v>278</v>
      </c>
      <c r="AG66" s="115">
        <v>44</v>
      </c>
      <c r="AH66" s="115">
        <v>89</v>
      </c>
    </row>
    <row r="67" spans="1:34" ht="20.25" customHeight="1">
      <c r="A67" s="113" t="s">
        <v>56</v>
      </c>
      <c r="B67" s="115">
        <v>1248.805259</v>
      </c>
      <c r="C67" s="115">
        <v>1483.012328</v>
      </c>
      <c r="D67" s="115">
        <v>1811.015619</v>
      </c>
      <c r="E67" s="115">
        <v>985.97880500000008</v>
      </c>
      <c r="F67" s="115">
        <v>956.04544599999997</v>
      </c>
      <c r="G67" s="115">
        <v>798.92319399999997</v>
      </c>
      <c r="H67" s="115">
        <v>783.0255699999999</v>
      </c>
      <c r="I67" s="115">
        <v>1110.2294530000001</v>
      </c>
      <c r="J67" s="115">
        <v>380.04338300000001</v>
      </c>
      <c r="K67" s="115">
        <v>385.08297199999998</v>
      </c>
      <c r="L67" s="115">
        <v>386.77005500000001</v>
      </c>
      <c r="M67" s="115">
        <v>1019.840515</v>
      </c>
      <c r="N67" s="115">
        <v>1363.259873</v>
      </c>
      <c r="O67" s="115">
        <v>1443.903892</v>
      </c>
      <c r="P67" s="115">
        <v>1875.1131599999999</v>
      </c>
      <c r="Q67" s="115">
        <v>2731.9895140000003</v>
      </c>
      <c r="R67" s="115">
        <v>2922.1450919999997</v>
      </c>
      <c r="S67" s="115">
        <v>3389.2064590000005</v>
      </c>
      <c r="T67" s="115">
        <v>3009.008953</v>
      </c>
      <c r="U67" s="115">
        <v>2918</v>
      </c>
      <c r="V67" s="115">
        <v>2605</v>
      </c>
      <c r="W67" s="115">
        <v>2276</v>
      </c>
      <c r="X67" s="115">
        <v>2071</v>
      </c>
      <c r="Y67" s="115">
        <v>1839</v>
      </c>
      <c r="Z67" s="115">
        <v>1721</v>
      </c>
      <c r="AA67" s="115">
        <v>1632</v>
      </c>
      <c r="AB67" s="115">
        <v>1468</v>
      </c>
      <c r="AC67" s="115">
        <v>1296</v>
      </c>
      <c r="AD67" s="115">
        <v>1155</v>
      </c>
      <c r="AE67" s="115">
        <v>1390</v>
      </c>
      <c r="AF67" s="115">
        <v>1570</v>
      </c>
      <c r="AG67" s="115">
        <v>552</v>
      </c>
      <c r="AH67" s="115">
        <v>260</v>
      </c>
    </row>
    <row r="68" spans="1:34" ht="20.25" customHeight="1">
      <c r="A68" s="113" t="s">
        <v>108</v>
      </c>
      <c r="B68" s="115">
        <v>413.86461300000002</v>
      </c>
      <c r="C68" s="115">
        <v>280.17984100000001</v>
      </c>
      <c r="D68" s="115">
        <v>299.179642</v>
      </c>
      <c r="E68" s="115">
        <v>40.101023999999995</v>
      </c>
      <c r="F68" s="115">
        <v>81.738707000000005</v>
      </c>
      <c r="G68" s="115">
        <v>144.23272800000001</v>
      </c>
      <c r="H68" s="115">
        <v>77.176659000000001</v>
      </c>
      <c r="I68" s="115">
        <v>242.05628099999998</v>
      </c>
      <c r="J68" s="115">
        <v>234.072046</v>
      </c>
      <c r="K68" s="115">
        <v>222.16534200000001</v>
      </c>
      <c r="L68" s="115">
        <v>217.757972</v>
      </c>
      <c r="M68" s="115">
        <v>23.751750000000001</v>
      </c>
      <c r="N68" s="115">
        <v>54.746877999999995</v>
      </c>
      <c r="O68" s="115">
        <v>38.941258999999995</v>
      </c>
      <c r="P68" s="115">
        <v>20.175232999999999</v>
      </c>
      <c r="Q68" s="115">
        <v>20.175232999999999</v>
      </c>
      <c r="R68" s="115">
        <v>14.007724</v>
      </c>
      <c r="S68" s="115">
        <v>332.50055299999997</v>
      </c>
      <c r="T68" s="115">
        <v>332.50055399999997</v>
      </c>
      <c r="U68" s="115">
        <v>9</v>
      </c>
      <c r="V68" s="115">
        <v>10</v>
      </c>
      <c r="W68" s="115">
        <v>10</v>
      </c>
      <c r="X68" s="115">
        <v>18</v>
      </c>
      <c r="Y68" s="115">
        <v>10</v>
      </c>
      <c r="Z68" s="115">
        <v>30</v>
      </c>
      <c r="AA68" s="115">
        <v>96</v>
      </c>
      <c r="AB68" s="115">
        <v>3820</v>
      </c>
      <c r="AC68" s="115">
        <v>3587</v>
      </c>
      <c r="AD68" s="115">
        <v>3564</v>
      </c>
      <c r="AE68" s="115">
        <v>3627</v>
      </c>
      <c r="AF68" s="115">
        <v>3641</v>
      </c>
      <c r="AG68" s="115">
        <v>2336</v>
      </c>
      <c r="AH68" s="115">
        <v>2339</v>
      </c>
    </row>
    <row r="69" spans="1:34" ht="20.25" customHeight="1">
      <c r="A69" s="113" t="s">
        <v>109</v>
      </c>
      <c r="B69" s="115">
        <v>115.26320499999999</v>
      </c>
      <c r="C69" s="115">
        <v>128.14828199999999</v>
      </c>
      <c r="D69" s="115">
        <v>6325.9154479999997</v>
      </c>
      <c r="E69" s="115">
        <v>6350.9903080000004</v>
      </c>
      <c r="F69" s="115">
        <v>7060.8156339999996</v>
      </c>
      <c r="G69" s="115">
        <v>6861.0210729999999</v>
      </c>
      <c r="H69" s="115">
        <v>6365.8583580000004</v>
      </c>
      <c r="I69" s="115">
        <v>5797.0013820000004</v>
      </c>
      <c r="J69" s="115">
        <v>5987.7920750000003</v>
      </c>
      <c r="K69" s="115">
        <v>5720.4928909999999</v>
      </c>
      <c r="L69" s="115">
        <v>6009.17029</v>
      </c>
      <c r="M69" s="115">
        <v>6457.8549170000006</v>
      </c>
      <c r="N69" s="115">
        <v>11122.766145</v>
      </c>
      <c r="O69" s="115">
        <v>13154.755323000003</v>
      </c>
      <c r="P69" s="115">
        <v>10340.569078999995</v>
      </c>
      <c r="Q69" s="115">
        <v>14025.444450999998</v>
      </c>
      <c r="R69" s="115">
        <v>12730.325841999995</v>
      </c>
      <c r="S69" s="115">
        <v>16808.382404000004</v>
      </c>
      <c r="T69" s="115">
        <v>12286.755530000002</v>
      </c>
      <c r="U69" s="115">
        <v>11821</v>
      </c>
      <c r="V69" s="115">
        <v>12080</v>
      </c>
      <c r="W69" s="115">
        <v>12473</v>
      </c>
      <c r="X69" s="115">
        <v>12244</v>
      </c>
      <c r="Y69" s="115">
        <v>12292</v>
      </c>
      <c r="Z69" s="115">
        <v>11528</v>
      </c>
      <c r="AA69" s="115">
        <v>13274</v>
      </c>
      <c r="AB69" s="115">
        <v>12356</v>
      </c>
      <c r="AC69" s="115">
        <v>13206</v>
      </c>
      <c r="AD69" s="115">
        <v>13372</v>
      </c>
      <c r="AE69" s="115">
        <v>15442</v>
      </c>
      <c r="AF69" s="115">
        <v>13115</v>
      </c>
      <c r="AG69" s="115">
        <v>14453</v>
      </c>
      <c r="AH69" s="115">
        <v>14076</v>
      </c>
    </row>
    <row r="70" spans="1:34" ht="20.25" customHeight="1" thickBot="1">
      <c r="A70" s="113" t="s">
        <v>57</v>
      </c>
      <c r="B70" s="115">
        <v>2379.6290640001826</v>
      </c>
      <c r="C70" s="115">
        <v>1906.5970290000841</v>
      </c>
      <c r="D70" s="115">
        <v>2111.14107900009</v>
      </c>
      <c r="E70" s="115">
        <v>1299.227458999982</v>
      </c>
      <c r="F70" s="115">
        <v>1041.6334510002234</v>
      </c>
      <c r="G70" s="115">
        <v>1090.5039970000944</v>
      </c>
      <c r="H70" s="115">
        <v>905.65247599969007</v>
      </c>
      <c r="I70" s="115">
        <v>857.95727499982604</v>
      </c>
      <c r="J70" s="115">
        <v>874.90047100004449</v>
      </c>
      <c r="K70" s="115">
        <v>869.49786800005677</v>
      </c>
      <c r="L70" s="115">
        <v>1070.878747000017</v>
      </c>
      <c r="M70" s="115">
        <v>965.48362400002952</v>
      </c>
      <c r="N70" s="115">
        <v>985.97912300017197</v>
      </c>
      <c r="O70" s="115">
        <v>626.71109999992768</v>
      </c>
      <c r="P70" s="115">
        <v>784.9733699999706</v>
      </c>
      <c r="Q70" s="115">
        <v>1136.9048850001273</v>
      </c>
      <c r="R70" s="115">
        <v>845.70351700008905</v>
      </c>
      <c r="S70" s="115">
        <v>1807.794378000166</v>
      </c>
      <c r="T70" s="115">
        <v>1861.7101699999548</v>
      </c>
      <c r="U70" s="115">
        <v>1707</v>
      </c>
      <c r="V70" s="115">
        <v>1580</v>
      </c>
      <c r="W70" s="115">
        <v>1383</v>
      </c>
      <c r="X70" s="115">
        <v>1830</v>
      </c>
      <c r="Y70" s="115">
        <v>1538</v>
      </c>
      <c r="Z70" s="115">
        <v>1779</v>
      </c>
      <c r="AA70" s="115">
        <v>1594</v>
      </c>
      <c r="AB70" s="115">
        <v>1295</v>
      </c>
      <c r="AC70" s="115">
        <v>1353</v>
      </c>
      <c r="AD70" s="115">
        <v>1662</v>
      </c>
      <c r="AE70" s="115">
        <v>1913</v>
      </c>
      <c r="AF70" s="115">
        <v>1715</v>
      </c>
      <c r="AG70" s="115">
        <v>2036</v>
      </c>
      <c r="AH70" s="115">
        <v>2097</v>
      </c>
    </row>
    <row r="71" spans="1:34" s="123" customFormat="1" ht="20.25" customHeight="1" thickBot="1">
      <c r="A71" s="130" t="s">
        <v>13</v>
      </c>
      <c r="B71" s="124">
        <v>1303274.2777670003</v>
      </c>
      <c r="C71" s="124">
        <v>1431810.0375999999</v>
      </c>
      <c r="D71" s="124">
        <v>1398057.5947780001</v>
      </c>
      <c r="E71" s="124">
        <v>1426464.98578</v>
      </c>
      <c r="F71" s="124">
        <v>1496462.2007400002</v>
      </c>
      <c r="G71" s="124">
        <v>1504525.1683740001</v>
      </c>
      <c r="H71" s="124">
        <v>1573913.1283279997</v>
      </c>
      <c r="I71" s="124">
        <v>1458650.1166669999</v>
      </c>
      <c r="J71" s="124">
        <v>1688196.4704010002</v>
      </c>
      <c r="K71" s="124">
        <v>1667324.9809630003</v>
      </c>
      <c r="L71" s="124">
        <v>1642944.505752</v>
      </c>
      <c r="M71" s="124">
        <v>1537780.0135800003</v>
      </c>
      <c r="N71" s="124">
        <v>1716115.1101860001</v>
      </c>
      <c r="O71" s="124">
        <v>1676704.3910589998</v>
      </c>
      <c r="P71" s="124">
        <v>1785504.69371</v>
      </c>
      <c r="Q71" s="124">
        <v>1641741.2721280004</v>
      </c>
      <c r="R71" s="124">
        <v>1871836.4941769999</v>
      </c>
      <c r="S71" s="124">
        <v>1843839.2982949999</v>
      </c>
      <c r="T71" s="124">
        <v>1835422.5236520001</v>
      </c>
      <c r="U71" s="124">
        <v>1639938</v>
      </c>
      <c r="V71" s="124">
        <v>1846809</v>
      </c>
      <c r="W71" s="124">
        <v>1917363</v>
      </c>
      <c r="X71" s="124">
        <v>1878174</v>
      </c>
      <c r="Y71" s="124">
        <v>1797820</v>
      </c>
      <c r="Z71" s="124">
        <v>2021742</v>
      </c>
      <c r="AA71" s="124">
        <v>2054412</v>
      </c>
      <c r="AB71" s="124">
        <v>2052185</v>
      </c>
      <c r="AC71" s="124">
        <v>2030076</v>
      </c>
      <c r="AD71" s="124">
        <v>2056695</v>
      </c>
      <c r="AE71" s="124">
        <v>2081158</v>
      </c>
      <c r="AF71" s="124">
        <v>2099159</v>
      </c>
      <c r="AG71" s="124">
        <v>2038533</v>
      </c>
      <c r="AH71" s="124">
        <v>2229880</v>
      </c>
    </row>
    <row r="72" spans="1:34" ht="27" customHeight="1">
      <c r="A72" s="135"/>
    </row>
    <row r="73" spans="1:34" ht="27" customHeight="1" thickBot="1">
      <c r="B73" s="13"/>
      <c r="C73" s="13"/>
      <c r="D73" s="13"/>
    </row>
    <row r="74" spans="1:34" ht="20.25" customHeight="1" thickBot="1">
      <c r="A74" s="134" t="s">
        <v>58</v>
      </c>
      <c r="B74" s="122">
        <v>43190</v>
      </c>
      <c r="C74" s="122">
        <v>43281</v>
      </c>
      <c r="D74" s="122">
        <v>43373</v>
      </c>
      <c r="E74" s="122">
        <v>43465</v>
      </c>
      <c r="F74" s="122">
        <v>43555</v>
      </c>
      <c r="G74" s="122">
        <v>43646</v>
      </c>
      <c r="H74" s="122">
        <v>43738</v>
      </c>
      <c r="I74" s="122">
        <v>43830</v>
      </c>
      <c r="J74" s="122">
        <v>43921</v>
      </c>
      <c r="K74" s="122">
        <v>44012</v>
      </c>
      <c r="L74" s="122">
        <v>44104</v>
      </c>
      <c r="M74" s="122">
        <v>44196</v>
      </c>
      <c r="N74" s="122">
        <v>44286</v>
      </c>
      <c r="O74" s="122">
        <v>44377</v>
      </c>
      <c r="P74" s="122">
        <v>44469</v>
      </c>
      <c r="Q74" s="122">
        <v>44561</v>
      </c>
      <c r="R74" s="122">
        <v>44651</v>
      </c>
      <c r="S74" s="122">
        <v>44742</v>
      </c>
      <c r="T74" s="122">
        <v>44834</v>
      </c>
      <c r="U74" s="122">
        <v>44926</v>
      </c>
      <c r="V74" s="122">
        <v>45016</v>
      </c>
      <c r="W74" s="122">
        <v>45107</v>
      </c>
      <c r="X74" s="122">
        <v>45199</v>
      </c>
      <c r="Y74" s="122">
        <v>45291</v>
      </c>
      <c r="Z74" s="122">
        <v>45382</v>
      </c>
      <c r="AA74" s="122">
        <v>45473</v>
      </c>
      <c r="AB74" s="122">
        <v>45565</v>
      </c>
      <c r="AC74" s="122">
        <v>45657</v>
      </c>
      <c r="AD74" s="122">
        <v>45747</v>
      </c>
      <c r="AE74" s="122">
        <v>45838</v>
      </c>
      <c r="AF74" s="122">
        <v>45930</v>
      </c>
      <c r="AG74" s="122">
        <v>46022</v>
      </c>
      <c r="AH74" s="122">
        <v>46112</v>
      </c>
    </row>
    <row r="75" spans="1:34" ht="20.25" customHeight="1">
      <c r="A75" s="113" t="s">
        <v>120</v>
      </c>
      <c r="B75" s="115">
        <v>10861.636466</v>
      </c>
      <c r="C75" s="115">
        <v>11772.462991</v>
      </c>
      <c r="D75" s="115">
        <v>10859.344239</v>
      </c>
      <c r="E75" s="115">
        <v>10171.670603</v>
      </c>
      <c r="F75" s="115">
        <v>10016.028177</v>
      </c>
      <c r="G75" s="115">
        <v>10055.110008</v>
      </c>
      <c r="H75" s="115">
        <v>10461.347367</v>
      </c>
      <c r="I75" s="115">
        <v>9793.8790239999998</v>
      </c>
      <c r="J75" s="115">
        <v>19389.182140999998</v>
      </c>
      <c r="K75" s="115">
        <v>14134.720547000001</v>
      </c>
      <c r="L75" s="115">
        <v>17693.798414999997</v>
      </c>
      <c r="M75" s="115">
        <v>12894.671866000001</v>
      </c>
      <c r="N75" s="115">
        <v>10175.860866000001</v>
      </c>
      <c r="O75" s="115">
        <v>7968.2991050000001</v>
      </c>
      <c r="P75" s="115">
        <v>9675.7591709999997</v>
      </c>
      <c r="Q75" s="115">
        <v>15392.329714000001</v>
      </c>
      <c r="R75" s="115">
        <v>20309.269523000003</v>
      </c>
      <c r="S75" s="115">
        <v>24836.700192</v>
      </c>
      <c r="T75" s="115">
        <v>27915.069942999999</v>
      </c>
      <c r="U75" s="115">
        <v>29597</v>
      </c>
      <c r="V75" s="115">
        <v>28095</v>
      </c>
      <c r="W75" s="115">
        <v>22556</v>
      </c>
      <c r="X75" s="115">
        <v>19274</v>
      </c>
      <c r="Y75" s="115">
        <v>16716</v>
      </c>
      <c r="Z75" s="115">
        <v>15308</v>
      </c>
      <c r="AA75" s="115">
        <v>14525</v>
      </c>
      <c r="AB75" s="115">
        <v>13009</v>
      </c>
      <c r="AC75" s="115">
        <v>12034</v>
      </c>
      <c r="AD75" s="115">
        <v>10760</v>
      </c>
      <c r="AE75" s="115">
        <v>12836</v>
      </c>
      <c r="AF75" s="115">
        <v>12333</v>
      </c>
      <c r="AG75" s="115">
        <v>10201</v>
      </c>
      <c r="AH75" s="115">
        <v>10265</v>
      </c>
    </row>
    <row r="76" spans="1:34" ht="20.25" customHeight="1">
      <c r="A76" s="113" t="s">
        <v>111</v>
      </c>
      <c r="B76" s="115">
        <v>1483.4555273262702</v>
      </c>
      <c r="C76" s="115">
        <v>1451.9518241571786</v>
      </c>
      <c r="D76" s="115">
        <v>1602.829017</v>
      </c>
      <c r="E76" s="115">
        <v>1934.9697919999999</v>
      </c>
      <c r="F76" s="115">
        <v>2623.1154860000001</v>
      </c>
      <c r="G76" s="115">
        <v>3244.1193720000001</v>
      </c>
      <c r="H76" s="115">
        <v>3863.5576609999998</v>
      </c>
      <c r="I76" s="115">
        <v>3557.2688010000002</v>
      </c>
      <c r="J76" s="115">
        <v>3542.6207089999998</v>
      </c>
      <c r="K76" s="115">
        <v>4657.3766109999997</v>
      </c>
      <c r="L76" s="115">
        <v>4586.3987669999997</v>
      </c>
      <c r="M76" s="115">
        <v>3784.3908769999998</v>
      </c>
      <c r="N76" s="115">
        <v>3442.109962</v>
      </c>
      <c r="O76" s="115">
        <v>963.09641500000009</v>
      </c>
      <c r="P76" s="115">
        <v>847.13413099999991</v>
      </c>
      <c r="Q76" s="115">
        <v>10652.756625999999</v>
      </c>
      <c r="R76" s="115">
        <v>21347.320552000001</v>
      </c>
      <c r="S76" s="115">
        <v>27191.311182000001</v>
      </c>
      <c r="T76" s="115">
        <v>31132.089689999997</v>
      </c>
      <c r="U76" s="115">
        <v>31331</v>
      </c>
      <c r="V76" s="115">
        <v>31244</v>
      </c>
      <c r="W76" s="115">
        <v>27226</v>
      </c>
      <c r="X76" s="115">
        <v>23505</v>
      </c>
      <c r="Y76" s="115">
        <v>13283</v>
      </c>
      <c r="Z76" s="115">
        <v>2560</v>
      </c>
      <c r="AA76" s="115">
        <v>1240</v>
      </c>
      <c r="AB76" s="115">
        <v>834</v>
      </c>
      <c r="AC76" s="115">
        <v>1309</v>
      </c>
      <c r="AD76" s="115">
        <v>1561</v>
      </c>
      <c r="AE76" s="115">
        <v>2385</v>
      </c>
      <c r="AF76" s="115">
        <v>2417</v>
      </c>
      <c r="AG76" s="115">
        <v>2723</v>
      </c>
      <c r="AH76" s="115">
        <v>2894</v>
      </c>
    </row>
    <row r="77" spans="1:34" ht="20.25" customHeight="1">
      <c r="A77" s="118" t="s">
        <v>194</v>
      </c>
      <c r="B77" s="115">
        <v>1483.4331140000002</v>
      </c>
      <c r="C77" s="115">
        <v>1451.931372</v>
      </c>
      <c r="D77" s="115">
        <v>1602.829017</v>
      </c>
      <c r="E77" s="115">
        <v>1934.9697919999999</v>
      </c>
      <c r="F77" s="115">
        <v>2623.1154860000001</v>
      </c>
      <c r="G77" s="115">
        <v>3244.1193720000001</v>
      </c>
      <c r="H77" s="115">
        <v>3863.5576609999998</v>
      </c>
      <c r="I77" s="115">
        <v>3557.2688010000002</v>
      </c>
      <c r="J77" s="115">
        <v>3542.6207089999998</v>
      </c>
      <c r="K77" s="115">
        <v>4657.3766109999997</v>
      </c>
      <c r="L77" s="115">
        <v>4586.3987669999997</v>
      </c>
      <c r="M77" s="115">
        <v>3784.3908769999998</v>
      </c>
      <c r="N77" s="115">
        <v>3435.109962</v>
      </c>
      <c r="O77" s="115">
        <v>963.09641500000009</v>
      </c>
      <c r="P77" s="115">
        <v>847.13413099999991</v>
      </c>
      <c r="Q77" s="115">
        <v>10652.756625999999</v>
      </c>
      <c r="R77" s="115">
        <v>21347.320552000001</v>
      </c>
      <c r="S77" s="115">
        <v>27191.311182000001</v>
      </c>
      <c r="T77" s="115">
        <v>31132.089689999997</v>
      </c>
      <c r="U77" s="115">
        <v>31331</v>
      </c>
      <c r="V77" s="115">
        <v>31244</v>
      </c>
      <c r="W77" s="115">
        <v>27226</v>
      </c>
      <c r="X77" s="115">
        <v>23505</v>
      </c>
      <c r="Y77" s="115">
        <v>13283</v>
      </c>
      <c r="Z77" s="115">
        <v>2560</v>
      </c>
      <c r="AA77" s="115">
        <v>1240</v>
      </c>
      <c r="AB77" s="115">
        <v>834</v>
      </c>
      <c r="AC77" s="115">
        <v>1309</v>
      </c>
      <c r="AD77" s="115">
        <v>1561</v>
      </c>
      <c r="AE77" s="115">
        <v>2385</v>
      </c>
      <c r="AF77" s="115">
        <v>2417</v>
      </c>
      <c r="AG77" s="115">
        <v>2723</v>
      </c>
      <c r="AH77" s="115">
        <v>2894</v>
      </c>
    </row>
    <row r="78" spans="1:34" ht="20.25" customHeight="1">
      <c r="A78" s="113" t="s">
        <v>112</v>
      </c>
      <c r="B78" s="115">
        <v>1150970.2970350003</v>
      </c>
      <c r="C78" s="115">
        <v>1288615.0705840001</v>
      </c>
      <c r="D78" s="115">
        <v>1248416.3548399999</v>
      </c>
      <c r="E78" s="115">
        <v>1279931.4285579999</v>
      </c>
      <c r="F78" s="115">
        <v>1338194.491747</v>
      </c>
      <c r="G78" s="115">
        <v>1345073.5772619999</v>
      </c>
      <c r="H78" s="115">
        <v>1408435.509688</v>
      </c>
      <c r="I78" s="115">
        <v>1294989.357204</v>
      </c>
      <c r="J78" s="115">
        <v>1505293.4925800001</v>
      </c>
      <c r="K78" s="115">
        <v>1489040.168937</v>
      </c>
      <c r="L78" s="115">
        <v>1456466.757852</v>
      </c>
      <c r="M78" s="115">
        <v>1360569.5301950001</v>
      </c>
      <c r="N78" s="115">
        <v>1536650.4482540002</v>
      </c>
      <c r="O78" s="115">
        <v>1499538.3934189999</v>
      </c>
      <c r="P78" s="115">
        <v>1606870.3501039997</v>
      </c>
      <c r="Q78" s="115">
        <v>1455055.552498</v>
      </c>
      <c r="R78" s="115">
        <v>1660762.5000650003</v>
      </c>
      <c r="S78" s="115">
        <v>1641937.2563820002</v>
      </c>
      <c r="T78" s="115">
        <v>1623912.5083970001</v>
      </c>
      <c r="U78" s="115">
        <v>1421830</v>
      </c>
      <c r="V78" s="115">
        <v>1623795</v>
      </c>
      <c r="W78" s="115">
        <v>1713978</v>
      </c>
      <c r="X78" s="115">
        <v>1679513</v>
      </c>
      <c r="Y78" s="115">
        <v>1604624</v>
      </c>
      <c r="Z78" s="115">
        <v>1831162</v>
      </c>
      <c r="AA78" s="115">
        <v>1878255</v>
      </c>
      <c r="AB78" s="115">
        <v>1869268</v>
      </c>
      <c r="AC78" s="115">
        <v>1844773</v>
      </c>
      <c r="AD78" s="115">
        <v>1862805</v>
      </c>
      <c r="AE78" s="115">
        <v>1909316</v>
      </c>
      <c r="AF78" s="115">
        <v>1925559</v>
      </c>
      <c r="AG78" s="115">
        <v>1861841</v>
      </c>
      <c r="AH78" s="115">
        <v>2043659</v>
      </c>
    </row>
    <row r="79" spans="1:34" ht="20.25" customHeight="1">
      <c r="A79" s="118" t="s">
        <v>65</v>
      </c>
      <c r="B79" s="115">
        <v>239878.169532</v>
      </c>
      <c r="C79" s="115">
        <v>367761.69974000001</v>
      </c>
      <c r="D79" s="115">
        <v>307097.469514</v>
      </c>
      <c r="E79" s="115">
        <v>318860.85666500003</v>
      </c>
      <c r="F79" s="115">
        <v>340879.04446200002</v>
      </c>
      <c r="G79" s="115">
        <v>292754.55619700003</v>
      </c>
      <c r="H79" s="115">
        <v>324371.56301499996</v>
      </c>
      <c r="I79" s="115">
        <v>292111.19962500001</v>
      </c>
      <c r="J79" s="115">
        <v>308844.42447100003</v>
      </c>
      <c r="K79" s="115">
        <v>337119.85474699998</v>
      </c>
      <c r="L79" s="115">
        <v>298266.67339499999</v>
      </c>
      <c r="M79" s="115">
        <v>91334.995922000002</v>
      </c>
      <c r="N79" s="115">
        <v>170102.03389700002</v>
      </c>
      <c r="O79" s="115">
        <v>166238.39800800002</v>
      </c>
      <c r="P79" s="115">
        <v>230426.49516899997</v>
      </c>
      <c r="Q79" s="115">
        <v>49695.128722000009</v>
      </c>
      <c r="R79" s="115">
        <v>176973.95508800002</v>
      </c>
      <c r="S79" s="115">
        <v>203868.62973499999</v>
      </c>
      <c r="T79" s="115">
        <v>234498.58724000005</v>
      </c>
      <c r="U79" s="115">
        <v>113541</v>
      </c>
      <c r="V79" s="115">
        <v>187544</v>
      </c>
      <c r="W79" s="115">
        <v>202630</v>
      </c>
      <c r="X79" s="115">
        <v>191320</v>
      </c>
      <c r="Y79" s="115">
        <v>122287</v>
      </c>
      <c r="Z79" s="115">
        <v>286990</v>
      </c>
      <c r="AA79" s="115">
        <v>297630</v>
      </c>
      <c r="AB79" s="115">
        <v>274235</v>
      </c>
      <c r="AC79" s="115">
        <v>275456</v>
      </c>
      <c r="AD79" s="115">
        <v>232261</v>
      </c>
      <c r="AE79" s="115">
        <v>189693</v>
      </c>
      <c r="AF79" s="115">
        <v>239317</v>
      </c>
      <c r="AG79" s="115">
        <v>229953</v>
      </c>
      <c r="AH79" s="115">
        <v>274421</v>
      </c>
    </row>
    <row r="80" spans="1:34" ht="20.25" customHeight="1">
      <c r="A80" s="118" t="s">
        <v>62</v>
      </c>
      <c r="B80" s="115">
        <v>907925.68882500008</v>
      </c>
      <c r="C80" s="115">
        <v>918266.39940300013</v>
      </c>
      <c r="D80" s="115">
        <v>938108.76214200002</v>
      </c>
      <c r="E80" s="115">
        <v>952506.12666499999</v>
      </c>
      <c r="F80" s="115">
        <v>986666.37630300003</v>
      </c>
      <c r="G80" s="115">
        <v>1041283.487752</v>
      </c>
      <c r="H80" s="115">
        <v>1072551.1727129999</v>
      </c>
      <c r="I80" s="115">
        <v>993257.49120499985</v>
      </c>
      <c r="J80" s="115">
        <v>1186029.2882689999</v>
      </c>
      <c r="K80" s="115">
        <v>1140627.9949319998</v>
      </c>
      <c r="L80" s="115">
        <v>1144357.8500809998</v>
      </c>
      <c r="M80" s="115">
        <v>1096666.045709</v>
      </c>
      <c r="N80" s="115">
        <v>1258526.422823</v>
      </c>
      <c r="O80" s="115">
        <v>1222762.7725209999</v>
      </c>
      <c r="P80" s="115">
        <v>1255265.1969549998</v>
      </c>
      <c r="Q80" s="115">
        <v>1173889.8138290001</v>
      </c>
      <c r="R80" s="115">
        <v>1324228.6659050002</v>
      </c>
      <c r="S80" s="115">
        <v>1344476.0284830001</v>
      </c>
      <c r="T80" s="115">
        <v>1359793.624599</v>
      </c>
      <c r="U80" s="115">
        <v>1225464</v>
      </c>
      <c r="V80" s="115">
        <v>1366685</v>
      </c>
      <c r="W80" s="115">
        <v>1428657</v>
      </c>
      <c r="X80" s="115">
        <v>1391248</v>
      </c>
      <c r="Y80" s="115">
        <v>1352755</v>
      </c>
      <c r="Z80" s="115">
        <v>1457324</v>
      </c>
      <c r="AA80" s="115">
        <v>1494724</v>
      </c>
      <c r="AB80" s="115">
        <v>1495548</v>
      </c>
      <c r="AC80" s="115">
        <v>1481865</v>
      </c>
      <c r="AD80" s="115">
        <v>1540439</v>
      </c>
      <c r="AE80" s="115">
        <v>1624894</v>
      </c>
      <c r="AF80" s="115">
        <v>1582263</v>
      </c>
      <c r="AG80" s="115">
        <v>1527117</v>
      </c>
      <c r="AH80" s="115">
        <v>1651986</v>
      </c>
    </row>
    <row r="81" spans="1:34" ht="20.25" customHeight="1">
      <c r="A81" s="118" t="s">
        <v>195</v>
      </c>
      <c r="B81" s="115">
        <v>914.06435699999997</v>
      </c>
      <c r="C81" s="115">
        <v>934.67160999999999</v>
      </c>
      <c r="D81" s="115">
        <v>1632.7758630000001</v>
      </c>
      <c r="E81" s="115">
        <v>5458.2790269999996</v>
      </c>
      <c r="F81" s="115">
        <v>6844.3659019999996</v>
      </c>
      <c r="G81" s="115">
        <v>7892.7206409999999</v>
      </c>
      <c r="H81" s="115">
        <v>8191.6618389999994</v>
      </c>
      <c r="I81" s="115">
        <v>5633.8289610000002</v>
      </c>
      <c r="J81" s="115">
        <v>6077.0907189999998</v>
      </c>
      <c r="K81" s="115">
        <v>6067.4382869999999</v>
      </c>
      <c r="L81" s="115">
        <v>6164.8716459999996</v>
      </c>
      <c r="M81" s="115">
        <v>169498.19709200002</v>
      </c>
      <c r="N81" s="115">
        <v>102408.13986700001</v>
      </c>
      <c r="O81" s="115">
        <v>102399.058032</v>
      </c>
      <c r="P81" s="115">
        <v>115045.68587999999</v>
      </c>
      <c r="Q81" s="115">
        <v>213356.73039099999</v>
      </c>
      <c r="R81" s="115">
        <v>153702.77357500003</v>
      </c>
      <c r="S81" s="115">
        <v>84674.245733000003</v>
      </c>
      <c r="T81" s="115">
        <v>23511.041104</v>
      </c>
      <c r="U81" s="115">
        <v>76657</v>
      </c>
      <c r="V81" s="115">
        <v>64079</v>
      </c>
      <c r="W81" s="115">
        <v>75621</v>
      </c>
      <c r="X81" s="115">
        <v>89799</v>
      </c>
      <c r="Y81" s="115">
        <v>121451</v>
      </c>
      <c r="Z81" s="115">
        <v>78315</v>
      </c>
      <c r="AA81" s="115">
        <v>77880</v>
      </c>
      <c r="AB81" s="115">
        <v>92510</v>
      </c>
      <c r="AC81" s="115">
        <v>81509</v>
      </c>
      <c r="AD81" s="115">
        <v>83003</v>
      </c>
      <c r="AE81" s="115">
        <v>86321</v>
      </c>
      <c r="AF81" s="115">
        <v>97392</v>
      </c>
      <c r="AG81" s="115">
        <v>98265</v>
      </c>
      <c r="AH81" s="115">
        <v>110625</v>
      </c>
    </row>
    <row r="82" spans="1:34" ht="20.25" customHeight="1">
      <c r="A82" s="118" t="s">
        <v>85</v>
      </c>
      <c r="B82" s="115">
        <v>2252.3743209999998</v>
      </c>
      <c r="C82" s="115">
        <v>1652.299831</v>
      </c>
      <c r="D82" s="115">
        <v>1577.3473220000001</v>
      </c>
      <c r="E82" s="115">
        <v>3106.166201</v>
      </c>
      <c r="F82" s="115">
        <v>3805.1250799999998</v>
      </c>
      <c r="G82" s="115">
        <v>3142.8126710000001</v>
      </c>
      <c r="H82" s="115">
        <v>3320.8821209999996</v>
      </c>
      <c r="I82" s="115">
        <v>3986.807413</v>
      </c>
      <c r="J82" s="115">
        <v>4342.9291210000001</v>
      </c>
      <c r="K82" s="115">
        <v>5224.8809709999996</v>
      </c>
      <c r="L82" s="115">
        <v>7677.3627300000007</v>
      </c>
      <c r="M82" s="115">
        <v>3070.5014719999999</v>
      </c>
      <c r="N82" s="115">
        <v>5614.0516670000006</v>
      </c>
      <c r="O82" s="115">
        <v>8138.164858000001</v>
      </c>
      <c r="P82" s="115">
        <v>6132.8020999999999</v>
      </c>
      <c r="Q82" s="115">
        <v>18113.879556000004</v>
      </c>
      <c r="R82" s="115">
        <v>5856.5054970000001</v>
      </c>
      <c r="S82" s="115">
        <v>8918.3524309999993</v>
      </c>
      <c r="T82" s="115">
        <v>6108.7354539999997</v>
      </c>
      <c r="U82" s="115">
        <v>6168</v>
      </c>
      <c r="V82" s="115">
        <v>5487</v>
      </c>
      <c r="W82" s="115">
        <v>7070</v>
      </c>
      <c r="X82" s="115">
        <v>7146</v>
      </c>
      <c r="Y82" s="115">
        <v>8131</v>
      </c>
      <c r="Z82" s="115">
        <v>8533</v>
      </c>
      <c r="AA82" s="115">
        <v>8021</v>
      </c>
      <c r="AB82" s="115">
        <v>6975</v>
      </c>
      <c r="AC82" s="115">
        <v>5943</v>
      </c>
      <c r="AD82" s="115">
        <v>7102</v>
      </c>
      <c r="AE82" s="115">
        <v>8408</v>
      </c>
      <c r="AF82" s="115">
        <v>6587</v>
      </c>
      <c r="AG82" s="115">
        <v>6506</v>
      </c>
      <c r="AH82" s="115">
        <v>6627</v>
      </c>
    </row>
    <row r="83" spans="1:34" ht="20.25" customHeight="1">
      <c r="A83" s="113" t="s">
        <v>125</v>
      </c>
      <c r="B83" s="115">
        <v>0</v>
      </c>
      <c r="C83" s="115">
        <v>0</v>
      </c>
      <c r="D83" s="115">
        <v>0</v>
      </c>
      <c r="E83" s="115">
        <v>0</v>
      </c>
      <c r="F83" s="115">
        <v>2746.5096490000001</v>
      </c>
      <c r="G83" s="115">
        <v>2696.2652200000002</v>
      </c>
      <c r="H83" s="115">
        <v>2723.3920229999999</v>
      </c>
      <c r="I83" s="115">
        <v>3187.2061699999999</v>
      </c>
      <c r="J83" s="115">
        <v>3154.8022759999999</v>
      </c>
      <c r="K83" s="115">
        <v>3026.770219</v>
      </c>
      <c r="L83" s="115">
        <v>3075.4969209999999</v>
      </c>
      <c r="M83" s="115">
        <v>3361.4794980000001</v>
      </c>
      <c r="N83" s="115">
        <v>3273.5585540000002</v>
      </c>
      <c r="O83" s="115">
        <v>3178.3804440000004</v>
      </c>
      <c r="P83" s="115">
        <v>3174.8986519999999</v>
      </c>
      <c r="Q83" s="115">
        <v>3120.9515600000004</v>
      </c>
      <c r="R83" s="115">
        <v>3090.7766089999996</v>
      </c>
      <c r="S83" s="115">
        <v>3134.6471320000001</v>
      </c>
      <c r="T83" s="115">
        <v>3364.6586749999992</v>
      </c>
      <c r="U83" s="115">
        <v>3475</v>
      </c>
      <c r="V83" s="115">
        <v>3660</v>
      </c>
      <c r="W83" s="115">
        <v>3593</v>
      </c>
      <c r="X83" s="115">
        <v>3465</v>
      </c>
      <c r="Y83" s="115">
        <v>3259</v>
      </c>
      <c r="Z83" s="115">
        <v>3390</v>
      </c>
      <c r="AA83" s="115">
        <v>3445</v>
      </c>
      <c r="AB83" s="115">
        <v>3353</v>
      </c>
      <c r="AC83" s="115">
        <v>3363</v>
      </c>
      <c r="AD83" s="115">
        <v>3338</v>
      </c>
      <c r="AE83" s="115">
        <v>3361</v>
      </c>
      <c r="AF83" s="115">
        <v>3377</v>
      </c>
      <c r="AG83" s="115">
        <v>3836</v>
      </c>
      <c r="AH83" s="115">
        <v>3675</v>
      </c>
    </row>
    <row r="84" spans="1:34" ht="20.25" customHeight="1">
      <c r="A84" s="113" t="s">
        <v>107</v>
      </c>
      <c r="B84" s="115">
        <v>1458.2001270000001</v>
      </c>
      <c r="C84" s="115">
        <v>2730.7807560000001</v>
      </c>
      <c r="D84" s="115">
        <v>4114.0516509999998</v>
      </c>
      <c r="E84" s="115">
        <v>2110.5000279999999</v>
      </c>
      <c r="F84" s="115">
        <v>2125.0514789999997</v>
      </c>
      <c r="G84" s="115">
        <v>1565.1542040000002</v>
      </c>
      <c r="H84" s="115">
        <v>2025.2844700000001</v>
      </c>
      <c r="I84" s="115">
        <v>2180.4380119999996</v>
      </c>
      <c r="J84" s="115">
        <v>893.52710200000001</v>
      </c>
      <c r="K84" s="115">
        <v>264.16256399999997</v>
      </c>
      <c r="L84" s="115">
        <v>875.85552800000005</v>
      </c>
      <c r="M84" s="115">
        <v>268.87851799999999</v>
      </c>
      <c r="N84" s="115">
        <v>865.16737399999988</v>
      </c>
      <c r="O84" s="115">
        <v>500.73351499999995</v>
      </c>
      <c r="P84" s="115">
        <v>2283.7939809999998</v>
      </c>
      <c r="Q84" s="115">
        <v>4718.2926620000007</v>
      </c>
      <c r="R84" s="115">
        <v>5574.8546480000005</v>
      </c>
      <c r="S84" s="115">
        <v>6406.9835469999998</v>
      </c>
      <c r="T84" s="115">
        <v>6550.5282159999997</v>
      </c>
      <c r="U84" s="115">
        <v>5870</v>
      </c>
      <c r="V84" s="115">
        <v>5813</v>
      </c>
      <c r="W84" s="115">
        <v>4701</v>
      </c>
      <c r="X84" s="115">
        <v>4549.6330980000002</v>
      </c>
      <c r="Y84" s="115">
        <v>4534</v>
      </c>
      <c r="Z84" s="115">
        <v>4469</v>
      </c>
      <c r="AA84" s="115">
        <v>3270</v>
      </c>
      <c r="AB84" s="115">
        <v>3814</v>
      </c>
      <c r="AC84" s="115">
        <v>3693</v>
      </c>
      <c r="AD84" s="115">
        <v>3186</v>
      </c>
      <c r="AE84" s="115">
        <v>2871</v>
      </c>
      <c r="AF84" s="115">
        <v>2429</v>
      </c>
      <c r="AG84" s="115">
        <v>2009</v>
      </c>
      <c r="AH84" s="115">
        <v>2217</v>
      </c>
    </row>
    <row r="85" spans="1:34" ht="20.25" customHeight="1">
      <c r="A85" s="113" t="s">
        <v>66</v>
      </c>
      <c r="B85" s="115">
        <v>3547.3380140000008</v>
      </c>
      <c r="C85" s="115">
        <v>2903.1943960000003</v>
      </c>
      <c r="D85" s="115">
        <v>3014.3261649999999</v>
      </c>
      <c r="E85" s="115">
        <v>3584.4517429999996</v>
      </c>
      <c r="F85" s="115">
        <v>3988.6650500000001</v>
      </c>
      <c r="G85" s="115">
        <v>3064.1341600000001</v>
      </c>
      <c r="H85" s="115">
        <v>2915.5121439999998</v>
      </c>
      <c r="I85" s="115">
        <v>2697.1524449999997</v>
      </c>
      <c r="J85" s="115">
        <v>3766.9644870000002</v>
      </c>
      <c r="K85" s="115">
        <v>2870.1553530000001</v>
      </c>
      <c r="L85" s="115">
        <v>2879.0096430000003</v>
      </c>
      <c r="M85" s="115">
        <v>3119.7459210000002</v>
      </c>
      <c r="N85" s="115">
        <v>4356.4397580000004</v>
      </c>
      <c r="O85" s="115">
        <v>3505.3420169999999</v>
      </c>
      <c r="P85" s="115">
        <v>3245.7989700000007</v>
      </c>
      <c r="Q85" s="115">
        <v>3655.0176339999998</v>
      </c>
      <c r="R85" s="115">
        <v>4899.8000380000003</v>
      </c>
      <c r="S85" s="115">
        <v>3762.3380229999993</v>
      </c>
      <c r="T85" s="115">
        <v>3483.2078700000002</v>
      </c>
      <c r="U85" s="115">
        <v>3406</v>
      </c>
      <c r="V85" s="115">
        <v>4576.0238669999999</v>
      </c>
      <c r="W85" s="115">
        <v>3279</v>
      </c>
      <c r="X85" s="115">
        <v>3049</v>
      </c>
      <c r="Y85" s="115">
        <v>3468</v>
      </c>
      <c r="Z85" s="115">
        <v>4175</v>
      </c>
      <c r="AA85" s="115">
        <v>3223</v>
      </c>
      <c r="AB85" s="115">
        <v>3079</v>
      </c>
      <c r="AC85" s="115">
        <v>3465</v>
      </c>
      <c r="AD85" s="115">
        <v>4017</v>
      </c>
      <c r="AE85" s="115">
        <v>3812</v>
      </c>
      <c r="AF85" s="115">
        <v>3580</v>
      </c>
      <c r="AG85" s="115">
        <v>2148</v>
      </c>
      <c r="AH85" s="115">
        <v>2785</v>
      </c>
    </row>
    <row r="86" spans="1:34" ht="20.25" customHeight="1">
      <c r="A86" s="113" t="s">
        <v>67</v>
      </c>
      <c r="B86" s="115">
        <v>284.11762499999998</v>
      </c>
      <c r="C86" s="115">
        <v>158.62745999999999</v>
      </c>
      <c r="D86" s="115">
        <v>99.265535999999997</v>
      </c>
      <c r="E86" s="115">
        <v>69.418592000000004</v>
      </c>
      <c r="F86" s="115">
        <v>106.74207199999999</v>
      </c>
      <c r="G86" s="115">
        <v>178.700591</v>
      </c>
      <c r="H86" s="115">
        <v>265.53803099999999</v>
      </c>
      <c r="I86" s="115">
        <v>327.318983</v>
      </c>
      <c r="J86" s="115">
        <v>204.000584</v>
      </c>
      <c r="K86" s="115">
        <v>175.20031599999999</v>
      </c>
      <c r="L86" s="115">
        <v>249.193521</v>
      </c>
      <c r="M86" s="115">
        <v>59.848157</v>
      </c>
      <c r="N86" s="115">
        <v>111.201684</v>
      </c>
      <c r="O86" s="115">
        <v>200.912836</v>
      </c>
      <c r="P86" s="115">
        <v>274.89407499999999</v>
      </c>
      <c r="Q86" s="115">
        <v>117.05918199999999</v>
      </c>
      <c r="R86" s="115">
        <v>150.29819699999999</v>
      </c>
      <c r="S86" s="115">
        <v>247.97347899999997</v>
      </c>
      <c r="T86" s="115">
        <v>384.33360000000005</v>
      </c>
      <c r="U86" s="115">
        <v>144</v>
      </c>
      <c r="V86" s="115">
        <v>191</v>
      </c>
      <c r="W86" s="115">
        <v>192</v>
      </c>
      <c r="X86" s="115">
        <v>258</v>
      </c>
      <c r="Y86" s="115">
        <v>115</v>
      </c>
      <c r="Z86" s="115">
        <v>141</v>
      </c>
      <c r="AA86" s="115">
        <v>177</v>
      </c>
      <c r="AB86" s="115">
        <v>1007</v>
      </c>
      <c r="AC86" s="115">
        <v>713</v>
      </c>
      <c r="AD86" s="115">
        <v>850</v>
      </c>
      <c r="AE86" s="115">
        <v>610</v>
      </c>
      <c r="AF86" s="115">
        <v>1042</v>
      </c>
      <c r="AG86" s="115">
        <v>61</v>
      </c>
      <c r="AH86" s="115">
        <v>124</v>
      </c>
    </row>
    <row r="87" spans="1:34" ht="20.25" customHeight="1">
      <c r="A87" s="113" t="s">
        <v>68</v>
      </c>
      <c r="B87" s="115">
        <v>216.84279800000002</v>
      </c>
      <c r="C87" s="115">
        <v>218.96964</v>
      </c>
      <c r="D87" s="115">
        <v>194.83685199999999</v>
      </c>
      <c r="E87" s="115">
        <v>217.645691</v>
      </c>
      <c r="F87" s="115">
        <v>391.19950599999999</v>
      </c>
      <c r="G87" s="115">
        <v>432.24491999999998</v>
      </c>
      <c r="H87" s="115">
        <v>260.67647599999998</v>
      </c>
      <c r="I87" s="115">
        <v>191.62598300000002</v>
      </c>
      <c r="J87" s="115">
        <v>419.16456599999998</v>
      </c>
      <c r="K87" s="115">
        <v>606.68850299999997</v>
      </c>
      <c r="L87" s="115">
        <v>513.43936099999996</v>
      </c>
      <c r="M87" s="115">
        <v>167.02605600000001</v>
      </c>
      <c r="N87" s="115">
        <v>341.507361</v>
      </c>
      <c r="O87" s="115">
        <v>363.72975799999989</v>
      </c>
      <c r="P87" s="115">
        <v>334.70796799999994</v>
      </c>
      <c r="Q87" s="115">
        <v>125.72653800000001</v>
      </c>
      <c r="R87" s="115">
        <v>278.22163699999999</v>
      </c>
      <c r="S87" s="115">
        <v>354.98164699999995</v>
      </c>
      <c r="T87" s="115">
        <v>93.004067000000006</v>
      </c>
      <c r="U87" s="115">
        <v>16</v>
      </c>
      <c r="V87" s="115">
        <v>69</v>
      </c>
      <c r="W87" s="115">
        <v>-267</v>
      </c>
      <c r="X87" s="115">
        <v>-283</v>
      </c>
      <c r="Y87" s="115">
        <v>19</v>
      </c>
      <c r="Z87" s="115">
        <v>279</v>
      </c>
      <c r="AA87" s="115">
        <v>171</v>
      </c>
      <c r="AB87" s="115">
        <v>-29</v>
      </c>
      <c r="AC87" s="115">
        <v>6</v>
      </c>
      <c r="AD87" s="115">
        <v>71</v>
      </c>
      <c r="AE87" s="115">
        <v>6</v>
      </c>
      <c r="AF87" s="115">
        <v>6</v>
      </c>
      <c r="AG87" s="115">
        <v>9</v>
      </c>
      <c r="AH87" s="115">
        <v>285</v>
      </c>
    </row>
    <row r="88" spans="1:34" ht="20.25" customHeight="1">
      <c r="A88" s="113" t="s">
        <v>89</v>
      </c>
      <c r="B88" s="115">
        <v>0</v>
      </c>
      <c r="C88" s="115">
        <v>0</v>
      </c>
      <c r="D88" s="115">
        <v>0</v>
      </c>
      <c r="E88" s="115">
        <v>0</v>
      </c>
      <c r="F88" s="115">
        <v>0</v>
      </c>
      <c r="G88" s="115">
        <v>0</v>
      </c>
      <c r="H88" s="115">
        <v>0</v>
      </c>
      <c r="I88" s="115">
        <v>0</v>
      </c>
      <c r="J88" s="115">
        <v>0</v>
      </c>
      <c r="K88" s="115">
        <v>0</v>
      </c>
      <c r="L88" s="115">
        <v>0</v>
      </c>
      <c r="M88" s="115">
        <v>0</v>
      </c>
      <c r="N88" s="115">
        <v>0</v>
      </c>
      <c r="O88" s="115">
        <v>0</v>
      </c>
      <c r="P88" s="115">
        <v>0</v>
      </c>
      <c r="Q88" s="115">
        <v>0</v>
      </c>
      <c r="R88" s="115">
        <v>0</v>
      </c>
      <c r="S88" s="115">
        <v>0</v>
      </c>
      <c r="T88" s="115">
        <v>0</v>
      </c>
      <c r="U88" s="115">
        <v>0</v>
      </c>
      <c r="V88" s="115">
        <v>0</v>
      </c>
      <c r="W88" s="115">
        <v>0</v>
      </c>
      <c r="X88" s="115">
        <v>0</v>
      </c>
      <c r="Y88" s="115">
        <v>0</v>
      </c>
      <c r="Z88" s="115">
        <v>0</v>
      </c>
      <c r="AA88" s="115">
        <v>23</v>
      </c>
      <c r="AB88" s="115">
        <v>231</v>
      </c>
      <c r="AC88" s="115">
        <v>167</v>
      </c>
      <c r="AD88" s="115">
        <v>151</v>
      </c>
      <c r="AE88" s="115">
        <v>149</v>
      </c>
      <c r="AF88" s="115">
        <v>150</v>
      </c>
      <c r="AG88" s="115">
        <v>150</v>
      </c>
      <c r="AH88" s="115">
        <v>146</v>
      </c>
    </row>
    <row r="89" spans="1:34" ht="20.25" customHeight="1">
      <c r="A89" s="113" t="s">
        <v>69</v>
      </c>
      <c r="B89" s="115">
        <v>10694.889360673471</v>
      </c>
      <c r="C89" s="115">
        <v>9398.1428728427964</v>
      </c>
      <c r="D89" s="115">
        <v>12607.480062000201</v>
      </c>
      <c r="E89" s="115">
        <v>5788.5019480000192</v>
      </c>
      <c r="F89" s="115">
        <v>9543.3394360001403</v>
      </c>
      <c r="G89" s="115">
        <v>8650.7339149999461</v>
      </c>
      <c r="H89" s="115">
        <v>8990.4236440000204</v>
      </c>
      <c r="I89" s="115">
        <v>4387.7424949998094</v>
      </c>
      <c r="J89" s="115">
        <v>7099.2289240001901</v>
      </c>
      <c r="K89" s="115">
        <v>6417.2491600000003</v>
      </c>
      <c r="L89" s="115">
        <v>7550.5142799995956</v>
      </c>
      <c r="M89" s="115">
        <v>4208.9806199998129</v>
      </c>
      <c r="N89" s="115">
        <v>6618.3155099999858</v>
      </c>
      <c r="O89" s="115">
        <v>7181.9485870003118</v>
      </c>
      <c r="P89" s="115">
        <v>8532.2743289995997</v>
      </c>
      <c r="Q89" s="115">
        <v>5707.4454099999566</v>
      </c>
      <c r="R89" s="115">
        <v>8257.28161799995</v>
      </c>
      <c r="S89" s="115">
        <v>9890.8997919999674</v>
      </c>
      <c r="T89" s="115">
        <v>6878.0448919999762</v>
      </c>
      <c r="U89" s="115">
        <v>6558</v>
      </c>
      <c r="V89" s="115">
        <v>7026</v>
      </c>
      <c r="W89" s="115">
        <v>9547</v>
      </c>
      <c r="X89" s="115">
        <v>6108</v>
      </c>
      <c r="Y89" s="115">
        <v>7301</v>
      </c>
      <c r="Z89" s="115">
        <v>9606</v>
      </c>
      <c r="AA89" s="115">
        <v>8419</v>
      </c>
      <c r="AB89" s="115">
        <v>8356</v>
      </c>
      <c r="AC89" s="115">
        <v>5787</v>
      </c>
      <c r="AD89" s="115">
        <v>8832</v>
      </c>
      <c r="AE89" s="115">
        <v>10562</v>
      </c>
      <c r="AF89" s="115">
        <v>7415</v>
      </c>
      <c r="AG89" s="115">
        <v>5074</v>
      </c>
      <c r="AH89" s="115">
        <v>7966</v>
      </c>
    </row>
    <row r="90" spans="1:34" ht="20.25" customHeight="1">
      <c r="A90" s="113" t="s">
        <v>70</v>
      </c>
      <c r="B90" s="115">
        <v>123757.70067800002</v>
      </c>
      <c r="C90" s="115">
        <v>114560.836943</v>
      </c>
      <c r="D90" s="115">
        <v>117151.45626000001</v>
      </c>
      <c r="E90" s="115">
        <v>122656.53869300001</v>
      </c>
      <c r="F90" s="115">
        <v>126726.668005</v>
      </c>
      <c r="G90" s="115">
        <v>129565.15858800001</v>
      </c>
      <c r="H90" s="115">
        <v>133970.861</v>
      </c>
      <c r="I90" s="115">
        <v>137338.587417</v>
      </c>
      <c r="J90" s="115">
        <v>144433.246897</v>
      </c>
      <c r="K90" s="115">
        <v>146132.57862099999</v>
      </c>
      <c r="L90" s="115">
        <v>149054.50133199999</v>
      </c>
      <c r="M90" s="115">
        <v>149345.94174000001</v>
      </c>
      <c r="N90" s="115">
        <v>150280.58073099999</v>
      </c>
      <c r="O90" s="115">
        <v>153303.50422700003</v>
      </c>
      <c r="P90" s="115">
        <v>150265.24159300001</v>
      </c>
      <c r="Q90" s="115">
        <v>143195.80856700003</v>
      </c>
      <c r="R90" s="115">
        <v>147166.16955300001</v>
      </c>
      <c r="S90" s="115">
        <v>126076.195181</v>
      </c>
      <c r="T90" s="115">
        <v>131709.49756800002</v>
      </c>
      <c r="U90" s="115">
        <v>137711</v>
      </c>
      <c r="V90" s="115">
        <v>142340</v>
      </c>
      <c r="W90" s="115">
        <v>132558</v>
      </c>
      <c r="X90" s="115">
        <v>138735</v>
      </c>
      <c r="Y90" s="115">
        <v>144501</v>
      </c>
      <c r="Z90" s="115">
        <v>150652</v>
      </c>
      <c r="AA90" s="115">
        <v>141664</v>
      </c>
      <c r="AB90" s="115">
        <v>149263</v>
      </c>
      <c r="AC90" s="115">
        <v>154766</v>
      </c>
      <c r="AD90" s="115">
        <v>161124</v>
      </c>
      <c r="AE90" s="115">
        <v>135250</v>
      </c>
      <c r="AF90" s="115">
        <v>140851</v>
      </c>
      <c r="AG90" s="115">
        <v>150481</v>
      </c>
      <c r="AH90" s="115">
        <v>155864</v>
      </c>
    </row>
    <row r="91" spans="1:34" ht="20.25" customHeight="1">
      <c r="A91" s="118" t="s">
        <v>71</v>
      </c>
      <c r="B91" s="115">
        <v>163.71159100000003</v>
      </c>
      <c r="C91" s="115">
        <v>151.50081600000001</v>
      </c>
      <c r="D91" s="115">
        <v>156.87088200000002</v>
      </c>
      <c r="E91" s="115">
        <v>184.055409</v>
      </c>
      <c r="F91" s="115">
        <v>187.38933800000001</v>
      </c>
      <c r="G91" s="115">
        <v>194.30724900000001</v>
      </c>
      <c r="H91" s="115">
        <v>192.88179500000001</v>
      </c>
      <c r="I91" s="115">
        <v>209.997984</v>
      </c>
      <c r="J91" s="115">
        <v>214.18912</v>
      </c>
      <c r="K91" s="115">
        <v>210.31224900000001</v>
      </c>
      <c r="L91" s="115">
        <v>219.52701500000001</v>
      </c>
      <c r="M91" s="115">
        <v>221.110883</v>
      </c>
      <c r="N91" s="115">
        <v>216.61824799999999</v>
      </c>
      <c r="O91" s="115">
        <v>229.77131700000001</v>
      </c>
      <c r="P91" s="115">
        <v>243.87179200000003</v>
      </c>
      <c r="Q91" s="115">
        <v>451.73232700000005</v>
      </c>
      <c r="R91" s="115">
        <v>438.03066300000012</v>
      </c>
      <c r="S91" s="115">
        <v>459.99899500000009</v>
      </c>
      <c r="T91" s="115">
        <v>474.19328700000005</v>
      </c>
      <c r="U91" s="115">
        <v>479</v>
      </c>
      <c r="V91" s="115">
        <v>481</v>
      </c>
      <c r="W91" s="115">
        <v>505</v>
      </c>
      <c r="X91" s="115">
        <v>522</v>
      </c>
      <c r="Y91" s="115">
        <v>546</v>
      </c>
      <c r="Z91" s="115">
        <v>550</v>
      </c>
      <c r="AA91" s="115">
        <v>569</v>
      </c>
      <c r="AB91" s="115">
        <v>581</v>
      </c>
      <c r="AC91" s="115">
        <v>622</v>
      </c>
      <c r="AD91" s="115">
        <v>632</v>
      </c>
      <c r="AE91" s="115">
        <v>654</v>
      </c>
      <c r="AF91" s="115">
        <v>677</v>
      </c>
      <c r="AG91" s="115">
        <v>1145</v>
      </c>
      <c r="AH91" s="115">
        <v>1151</v>
      </c>
    </row>
    <row r="92" spans="1:34" ht="20.25" customHeight="1" thickBot="1">
      <c r="A92" s="118" t="s">
        <v>72</v>
      </c>
      <c r="B92" s="115">
        <v>123593.98908700001</v>
      </c>
      <c r="C92" s="115">
        <v>114409.396127</v>
      </c>
      <c r="D92" s="115">
        <v>116994.485378</v>
      </c>
      <c r="E92" s="115">
        <v>122472.50328400001</v>
      </c>
      <c r="F92" s="115">
        <v>126539.508667</v>
      </c>
      <c r="G92" s="115">
        <v>129370.851339</v>
      </c>
      <c r="H92" s="115">
        <v>133777.97920500001</v>
      </c>
      <c r="I92" s="115">
        <v>137128.58943299999</v>
      </c>
      <c r="J92" s="115">
        <v>144219.05777700001</v>
      </c>
      <c r="K92" s="115">
        <v>145922.52637200002</v>
      </c>
      <c r="L92" s="115">
        <v>148834.94431700002</v>
      </c>
      <c r="M92" s="115">
        <v>149124.83085699999</v>
      </c>
      <c r="N92" s="115">
        <v>150063.96248300001</v>
      </c>
      <c r="O92" s="115">
        <v>153073.70291000002</v>
      </c>
      <c r="P92" s="115">
        <v>150021.36980100002</v>
      </c>
      <c r="Q92" s="115">
        <v>142744.07624000002</v>
      </c>
      <c r="R92" s="115">
        <v>146728.13889</v>
      </c>
      <c r="S92" s="115">
        <v>125616.196186</v>
      </c>
      <c r="T92" s="115">
        <v>131235.42428100001</v>
      </c>
      <c r="U92" s="115">
        <v>137232</v>
      </c>
      <c r="V92" s="115">
        <v>141859</v>
      </c>
      <c r="W92" s="115">
        <v>132053</v>
      </c>
      <c r="X92" s="115">
        <v>138213</v>
      </c>
      <c r="Y92" s="115">
        <v>143955</v>
      </c>
      <c r="Z92" s="115">
        <v>150102</v>
      </c>
      <c r="AA92" s="115">
        <v>141095</v>
      </c>
      <c r="AB92" s="115">
        <v>148682</v>
      </c>
      <c r="AC92" s="115">
        <v>154144</v>
      </c>
      <c r="AD92" s="115">
        <v>160492</v>
      </c>
      <c r="AE92" s="115">
        <v>134596</v>
      </c>
      <c r="AF92" s="115">
        <v>140174</v>
      </c>
      <c r="AG92" s="115">
        <v>149336</v>
      </c>
      <c r="AH92" s="115">
        <v>154713</v>
      </c>
    </row>
    <row r="93" spans="1:34" s="123" customFormat="1" ht="20.25" customHeight="1" thickBot="1">
      <c r="A93" s="130" t="s">
        <v>73</v>
      </c>
      <c r="B93" s="124">
        <v>1303274.4776310001</v>
      </c>
      <c r="C93" s="124">
        <v>1431810.0374670001</v>
      </c>
      <c r="D93" s="124">
        <v>1398057.9446220002</v>
      </c>
      <c r="E93" s="124">
        <v>1426465.125648</v>
      </c>
      <c r="F93" s="124">
        <v>1496461.8106070003</v>
      </c>
      <c r="G93" s="124">
        <v>1504525.1982399998</v>
      </c>
      <c r="H93" s="124">
        <v>1573912.768195</v>
      </c>
      <c r="I93" s="124">
        <v>1458650.2765339997</v>
      </c>
      <c r="J93" s="124">
        <v>1688196.2302660001</v>
      </c>
      <c r="K93" s="124">
        <v>1667325.4908309998</v>
      </c>
      <c r="L93" s="124">
        <v>1642944.9656199997</v>
      </c>
      <c r="M93" s="124">
        <v>1537780.4934479999</v>
      </c>
      <c r="N93" s="124">
        <v>1716115.1900540001</v>
      </c>
      <c r="O93" s="124">
        <v>1676704.3403230002</v>
      </c>
      <c r="P93" s="124">
        <v>1785504.8529739992</v>
      </c>
      <c r="Q93" s="124">
        <v>1641740.9403909999</v>
      </c>
      <c r="R93" s="124">
        <v>1871836.4924400004</v>
      </c>
      <c r="S93" s="124">
        <v>1843839.2865570001</v>
      </c>
      <c r="T93" s="124">
        <v>1835422.9429180003</v>
      </c>
      <c r="U93" s="124">
        <v>1639938</v>
      </c>
      <c r="V93" s="124">
        <v>1846809</v>
      </c>
      <c r="W93" s="124">
        <v>1917363</v>
      </c>
      <c r="X93" s="124">
        <v>1878174</v>
      </c>
      <c r="Y93" s="124">
        <v>1797820</v>
      </c>
      <c r="Z93" s="124">
        <v>2021742</v>
      </c>
      <c r="AA93" s="124">
        <v>2054412</v>
      </c>
      <c r="AB93" s="124">
        <v>2052185</v>
      </c>
      <c r="AC93" s="124">
        <v>2030076</v>
      </c>
      <c r="AD93" s="124">
        <v>2056695</v>
      </c>
      <c r="AE93" s="124">
        <v>2081158</v>
      </c>
      <c r="AF93" s="124">
        <v>2099159</v>
      </c>
      <c r="AG93" s="124">
        <v>2038533</v>
      </c>
      <c r="AH93" s="124">
        <v>2229880</v>
      </c>
    </row>
    <row r="97" spans="1:33" s="82" customForma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s="82" customForma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s="82" customForma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5">
    <pageSetUpPr fitToPage="1"/>
  </sheetPr>
  <dimension ref="A1:AC44"/>
  <sheetViews>
    <sheetView showGridLines="0" zoomScaleNormal="100" workbookViewId="0">
      <pane xSplit="1" ySplit="3" topLeftCell="S4" activePane="bottomRight" state="frozenSplit"/>
      <selection activeCell="P34" sqref="P34"/>
      <selection pane="topRight" activeCell="P34" sqref="P34"/>
      <selection pane="bottomLeft" activeCell="P34" sqref="P34"/>
      <selection pane="bottomRight"/>
    </sheetView>
  </sheetViews>
  <sheetFormatPr defaultColWidth="9.28515625" defaultRowHeight="12.75"/>
  <cols>
    <col min="1" max="1" width="36.28515625" style="1" customWidth="1"/>
    <col min="2" max="6" width="7.7109375" style="2" hidden="1" customWidth="1"/>
    <col min="7" max="7" width="9.5703125" style="1" hidden="1" customWidth="1"/>
    <col min="8" max="8" width="7.7109375" style="1" hidden="1" customWidth="1"/>
    <col min="9" max="15" width="9.28515625" style="1" hidden="1" customWidth="1"/>
    <col min="16" max="17" width="8.7109375" style="1" hidden="1" customWidth="1"/>
    <col min="18" max="19" width="10.140625" style="1" hidden="1" customWidth="1"/>
    <col min="20" max="29" width="10.140625" style="1" customWidth="1"/>
    <col min="30" max="16384" width="9.28515625" style="1"/>
  </cols>
  <sheetData>
    <row r="1" spans="1:29" ht="13.5" thickBot="1"/>
    <row r="2" spans="1:29" s="141" customFormat="1" ht="19.5" customHeight="1">
      <c r="A2" s="153" t="s">
        <v>144</v>
      </c>
      <c r="B2" s="154">
        <v>2002</v>
      </c>
      <c r="C2" s="154">
        <v>2003</v>
      </c>
      <c r="D2" s="154">
        <v>2004</v>
      </c>
      <c r="E2" s="154">
        <v>2005</v>
      </c>
      <c r="F2" s="154">
        <v>2006</v>
      </c>
      <c r="G2" s="154">
        <v>2007</v>
      </c>
      <c r="H2" s="154">
        <v>2008</v>
      </c>
      <c r="I2" s="154">
        <v>2009</v>
      </c>
      <c r="J2" s="154">
        <v>2010</v>
      </c>
      <c r="K2" s="154">
        <v>2011</v>
      </c>
      <c r="L2" s="154">
        <v>2012</v>
      </c>
      <c r="M2" s="154">
        <v>2013</v>
      </c>
      <c r="N2" s="154">
        <v>2014</v>
      </c>
      <c r="O2" s="154">
        <v>2015</v>
      </c>
      <c r="P2" s="154">
        <v>2016</v>
      </c>
      <c r="Q2" s="154">
        <v>2017</v>
      </c>
      <c r="R2" s="154">
        <v>2018</v>
      </c>
      <c r="S2" s="154">
        <v>2019</v>
      </c>
      <c r="T2" s="154">
        <v>2020</v>
      </c>
      <c r="U2" s="154">
        <v>2021</v>
      </c>
      <c r="V2" s="154">
        <v>2022</v>
      </c>
      <c r="W2" s="154">
        <v>2023</v>
      </c>
      <c r="X2" s="154">
        <v>2024</v>
      </c>
      <c r="Y2" s="154">
        <v>2025</v>
      </c>
      <c r="Z2" s="164" t="s">
        <v>203</v>
      </c>
      <c r="AA2" s="164"/>
      <c r="AB2" s="154" t="s">
        <v>179</v>
      </c>
      <c r="AC2" s="154" t="s">
        <v>204</v>
      </c>
    </row>
    <row r="3" spans="1:29" ht="13.5" thickBot="1">
      <c r="A3" s="155"/>
      <c r="B3" s="156"/>
      <c r="C3" s="156"/>
      <c r="D3" s="156"/>
      <c r="E3" s="156"/>
      <c r="F3" s="156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65" t="s">
        <v>196</v>
      </c>
      <c r="AA3" s="165"/>
      <c r="AB3" s="155"/>
      <c r="AC3" s="155"/>
    </row>
    <row r="4" spans="1:29" s="2" customFormat="1" ht="13.5" thickBot="1">
      <c r="A4" s="144" t="s">
        <v>145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</row>
    <row r="5" spans="1:29" s="7" customFormat="1" ht="15.75" customHeight="1">
      <c r="A5" s="148" t="s">
        <v>146</v>
      </c>
      <c r="B5" s="143">
        <v>1.5607626028305077</v>
      </c>
      <c r="C5" s="143">
        <v>3.5991206063030745</v>
      </c>
      <c r="D5" s="143">
        <v>4.7904738886256979</v>
      </c>
      <c r="E5" s="143">
        <v>6.5144264625442503</v>
      </c>
      <c r="F5" s="143">
        <v>7.0703980301231866</v>
      </c>
      <c r="G5" s="143">
        <v>5.5145431394722806</v>
      </c>
      <c r="H5" s="143">
        <v>2.5391295731568277</v>
      </c>
      <c r="I5" s="143">
        <v>-4.7004746584622552</v>
      </c>
      <c r="J5" s="143">
        <v>2.1362313653239706</v>
      </c>
      <c r="K5" s="143">
        <v>1.7804334964119484</v>
      </c>
      <c r="L5" s="143">
        <v>-0.72814009796730028</v>
      </c>
      <c r="M5" s="143">
        <v>-0.48507847990238995</v>
      </c>
      <c r="N5" s="143">
        <v>2.261650389496106</v>
      </c>
      <c r="O5" s="143">
        <v>5.4600872831794156</v>
      </c>
      <c r="P5" s="143">
        <v>2.450985053261423</v>
      </c>
      <c r="Q5" s="143">
        <v>5.3455760444483857</v>
      </c>
      <c r="R5" s="143">
        <v>2.8161560408519026</v>
      </c>
      <c r="S5" s="143">
        <v>3.5082033460225093</v>
      </c>
      <c r="T5" s="143">
        <v>-5.3209895910981135</v>
      </c>
      <c r="U5" s="143">
        <v>3.971205330801153</v>
      </c>
      <c r="V5" s="143">
        <v>2.8507356609465795</v>
      </c>
      <c r="W5" s="143">
        <v>0.1707825359418047</v>
      </c>
      <c r="X5" s="143">
        <v>1.1275617140475536</v>
      </c>
      <c r="Y5" s="143">
        <v>2.6474093258505915</v>
      </c>
      <c r="Z5" s="157" t="s">
        <v>201</v>
      </c>
      <c r="AA5" s="157">
        <v>2.7</v>
      </c>
      <c r="AB5" s="143">
        <v>2.4087563805009982</v>
      </c>
      <c r="AC5" s="143">
        <v>2.6372156269310887</v>
      </c>
    </row>
    <row r="6" spans="1:29" s="7" customFormat="1" ht="15.75" customHeight="1">
      <c r="A6" s="149" t="s">
        <v>147</v>
      </c>
      <c r="B6" s="142">
        <v>2.8882147648894261</v>
      </c>
      <c r="C6" s="142">
        <v>4.7914338765375533</v>
      </c>
      <c r="D6" s="142">
        <v>3.2757008673638239</v>
      </c>
      <c r="E6" s="142">
        <v>3.1285638616991918</v>
      </c>
      <c r="F6" s="142">
        <v>3.8229192506757101</v>
      </c>
      <c r="G6" s="142">
        <v>4.129450472695197</v>
      </c>
      <c r="H6" s="142">
        <v>2.8387267064954074</v>
      </c>
      <c r="I6" s="142">
        <v>-0.57812263898351546</v>
      </c>
      <c r="J6" s="142">
        <v>0.93391568033485139</v>
      </c>
      <c r="K6" s="142">
        <v>0.28773296873552123</v>
      </c>
      <c r="L6" s="142">
        <v>-1.2000129392699455</v>
      </c>
      <c r="M6" s="142">
        <v>0.46645465942420916</v>
      </c>
      <c r="N6" s="142">
        <v>1.3816965465662356</v>
      </c>
      <c r="O6" s="142">
        <v>3.931992122110195</v>
      </c>
      <c r="P6" s="142">
        <v>3.6617517185439263</v>
      </c>
      <c r="Q6" s="142">
        <v>4.0346065421691613</v>
      </c>
      <c r="R6" s="142">
        <v>3.3511708896988956</v>
      </c>
      <c r="S6" s="142">
        <v>2.985229293281555</v>
      </c>
      <c r="T6" s="142">
        <v>-6.5825622975835945</v>
      </c>
      <c r="U6" s="142">
        <v>4.0721810498744571</v>
      </c>
      <c r="V6" s="142">
        <v>0.389046594941167</v>
      </c>
      <c r="W6" s="142">
        <v>-2.7223445994661533</v>
      </c>
      <c r="X6" s="142">
        <v>2.2052669702969929</v>
      </c>
      <c r="Y6" s="142">
        <v>2.9578807986804012</v>
      </c>
      <c r="Z6" s="158" t="s">
        <v>201</v>
      </c>
      <c r="AA6" s="158">
        <v>3.2</v>
      </c>
      <c r="AB6" s="142">
        <v>2.8084700044428423</v>
      </c>
      <c r="AC6" s="142">
        <v>2.5841650002128791</v>
      </c>
    </row>
    <row r="7" spans="1:29" s="7" customFormat="1" ht="15.75" customHeight="1">
      <c r="A7" s="149" t="s">
        <v>148</v>
      </c>
      <c r="B7" s="142">
        <v>2.0030280553920079</v>
      </c>
      <c r="C7" s="142">
        <v>1.8009919800074101</v>
      </c>
      <c r="D7" s="142">
        <v>3.5217866528358428</v>
      </c>
      <c r="E7" s="142">
        <v>6.6027023561094467</v>
      </c>
      <c r="F7" s="142">
        <v>6.2927060951182341</v>
      </c>
      <c r="G7" s="142">
        <v>13.486370886113221</v>
      </c>
      <c r="H7" s="142">
        <v>2.2082096802918727</v>
      </c>
      <c r="I7" s="142">
        <v>-9.7865183121203785</v>
      </c>
      <c r="J7" s="142">
        <v>0.97192932148204569</v>
      </c>
      <c r="K7" s="142">
        <v>0.89810562895600299</v>
      </c>
      <c r="L7" s="142">
        <v>-2.9395484585192366</v>
      </c>
      <c r="M7" s="142">
        <v>-2.5178118990494269</v>
      </c>
      <c r="N7" s="142">
        <v>3.2689855034987669</v>
      </c>
      <c r="O7" s="142">
        <v>9.8280643173767945</v>
      </c>
      <c r="P7" s="142">
        <v>-3.1331141998956147</v>
      </c>
      <c r="Q7" s="142">
        <v>5.1264572061148428</v>
      </c>
      <c r="R7" s="142">
        <v>8.8942149501959342</v>
      </c>
      <c r="S7" s="142">
        <v>7.3966969674703176</v>
      </c>
      <c r="T7" s="142">
        <v>-4.7880088446344509</v>
      </c>
      <c r="U7" s="142">
        <v>6.65134549401043</v>
      </c>
      <c r="V7" s="142">
        <v>6.32998036580803</v>
      </c>
      <c r="W7" s="142">
        <v>4.5144988740406289</v>
      </c>
      <c r="X7" s="142">
        <v>-3.0064186045457242</v>
      </c>
      <c r="Y7" s="142">
        <v>2.56750187553898</v>
      </c>
      <c r="Z7" s="158" t="s">
        <v>201</v>
      </c>
      <c r="AA7" s="158">
        <v>6.7</v>
      </c>
      <c r="AB7" s="142">
        <v>2.1255354313731489</v>
      </c>
      <c r="AC7" s="142">
        <v>2.4308090158398521</v>
      </c>
    </row>
    <row r="8" spans="1:29" s="7" customFormat="1" ht="15.75" customHeight="1">
      <c r="A8" s="149" t="s">
        <v>149</v>
      </c>
      <c r="B8" s="142">
        <v>0.79296746787935035</v>
      </c>
      <c r="C8" s="142">
        <v>8.850318605521494</v>
      </c>
      <c r="D8" s="142">
        <v>29.175564183450632</v>
      </c>
      <c r="E8" s="142">
        <v>18.400305457131111</v>
      </c>
      <c r="F8" s="142">
        <v>14.760624973778434</v>
      </c>
      <c r="G8" s="142">
        <v>11.012205665994969</v>
      </c>
      <c r="H8" s="142">
        <v>3.8356788421265691</v>
      </c>
      <c r="I8" s="142">
        <v>-9.4932524618384946</v>
      </c>
      <c r="J8" s="142">
        <v>14.415363337458276</v>
      </c>
      <c r="K8" s="142">
        <v>9.1751307682142134</v>
      </c>
      <c r="L8" s="142">
        <v>4.452019346995062</v>
      </c>
      <c r="M8" s="142">
        <v>0.19960093250117605</v>
      </c>
      <c r="N8" s="142">
        <v>8.7199976723065795</v>
      </c>
      <c r="O8" s="142">
        <v>6.1917530222804107</v>
      </c>
      <c r="P8" s="142">
        <v>4.1445681834390014</v>
      </c>
      <c r="Q8" s="142">
        <v>7.5614972601237174</v>
      </c>
      <c r="R8" s="142">
        <v>3.4940844123070969</v>
      </c>
      <c r="S8" s="142">
        <v>1.1917301145561998</v>
      </c>
      <c r="T8" s="142">
        <v>-8.5710795473474821</v>
      </c>
      <c r="U8" s="142">
        <v>8.0165150392530915</v>
      </c>
      <c r="V8" s="142">
        <v>5.1501573822537949</v>
      </c>
      <c r="W8" s="142">
        <v>2.7714306215340434</v>
      </c>
      <c r="X8" s="142">
        <v>1.1389774030213795</v>
      </c>
      <c r="Y8" s="142">
        <v>4.1423114679836281</v>
      </c>
      <c r="Z8" s="158" t="s">
        <v>201</v>
      </c>
      <c r="AA8" s="158">
        <v>5</v>
      </c>
      <c r="AB8" s="142">
        <v>3.9492046044724338</v>
      </c>
      <c r="AC8" s="142">
        <v>4.4423639697188211</v>
      </c>
    </row>
    <row r="9" spans="1:29" s="7" customFormat="1" ht="15.75" customHeight="1">
      <c r="A9" s="149" t="s">
        <v>150</v>
      </c>
      <c r="B9" s="142">
        <v>4.66472077843774</v>
      </c>
      <c r="C9" s="142">
        <v>8.6303703287078974</v>
      </c>
      <c r="D9" s="142">
        <v>25.564710344944871</v>
      </c>
      <c r="E9" s="142">
        <v>13.02298450014699</v>
      </c>
      <c r="F9" s="142">
        <v>11.917705427406247</v>
      </c>
      <c r="G9" s="142">
        <v>12.821868228899632</v>
      </c>
      <c r="H9" s="142">
        <v>2.8102927444148946</v>
      </c>
      <c r="I9" s="142">
        <v>-10.703338732039242</v>
      </c>
      <c r="J9" s="142">
        <v>14.503471049121263</v>
      </c>
      <c r="K9" s="142">
        <v>6.7102851941503783</v>
      </c>
      <c r="L9" s="142">
        <v>2.781466825672152</v>
      </c>
      <c r="M9" s="142">
        <v>7.5080519278847291E-2</v>
      </c>
      <c r="N9" s="142">
        <v>10.024500693181192</v>
      </c>
      <c r="O9" s="142">
        <v>6.9592365233021258</v>
      </c>
      <c r="P9" s="142">
        <v>2.6943889408938215</v>
      </c>
      <c r="Q9" s="142">
        <v>6.5249704662525998</v>
      </c>
      <c r="R9" s="142">
        <v>5.4994123914022586</v>
      </c>
      <c r="S9" s="142">
        <v>1.1912303541599334</v>
      </c>
      <c r="T9" s="142">
        <v>-8.4788798978171158</v>
      </c>
      <c r="U9" s="142">
        <v>13.560716728709776</v>
      </c>
      <c r="V9" s="142">
        <v>5.9585884598270855</v>
      </c>
      <c r="W9" s="142">
        <v>-0.86578165165218657</v>
      </c>
      <c r="X9" s="142">
        <v>0.21028848922657328</v>
      </c>
      <c r="Y9" s="142">
        <v>5.1999732870434023</v>
      </c>
      <c r="Z9" s="158" t="s">
        <v>201</v>
      </c>
      <c r="AA9" s="158">
        <v>5.3</v>
      </c>
      <c r="AB9" s="142">
        <v>3.7679462364269334</v>
      </c>
      <c r="AC9" s="142">
        <v>4.4054462665865213</v>
      </c>
    </row>
    <row r="10" spans="1:29" s="7" customFormat="1" ht="15.75" customHeight="1">
      <c r="A10" s="149" t="s">
        <v>151</v>
      </c>
      <c r="B10" s="142">
        <v>3.1828858218999017</v>
      </c>
      <c r="C10" s="142">
        <v>1.249073894734849</v>
      </c>
      <c r="D10" s="142">
        <v>8.3549102953059702</v>
      </c>
      <c r="E10" s="142">
        <v>12.383664519473612</v>
      </c>
      <c r="F10" s="142">
        <v>17.961271337111029</v>
      </c>
      <c r="G10" s="142">
        <v>5.429589814567251</v>
      </c>
      <c r="H10" s="142">
        <v>7.7882860701561327</v>
      </c>
      <c r="I10" s="142">
        <v>-11.221602064903252</v>
      </c>
      <c r="J10" s="142">
        <v>8.1126996930071016</v>
      </c>
      <c r="K10" s="142">
        <v>6.0425183508306057</v>
      </c>
      <c r="L10" s="142">
        <v>-0.86927137150002731</v>
      </c>
      <c r="M10" s="142">
        <v>0.21413354883426128</v>
      </c>
      <c r="N10" s="142">
        <v>5.1075670165620757</v>
      </c>
      <c r="O10" s="142">
        <v>4.5525011274747396</v>
      </c>
      <c r="P10" s="142">
        <v>2.9788364972797909</v>
      </c>
      <c r="Q10" s="142">
        <v>6.7370799013302118</v>
      </c>
      <c r="R10" s="142">
        <v>3.041369012983397</v>
      </c>
      <c r="S10" s="142">
        <v>-0.52613191495036737</v>
      </c>
      <c r="T10" s="142">
        <v>-6.7765177621135102</v>
      </c>
      <c r="U10" s="142">
        <v>6.0782679250230398</v>
      </c>
      <c r="V10" s="142">
        <v>2.2508983382121261</v>
      </c>
      <c r="W10" s="142">
        <v>-0.82786118008579823</v>
      </c>
      <c r="X10" s="142">
        <v>-1.0328717312971802</v>
      </c>
      <c r="Y10" s="142">
        <v>1.4620791491697593</v>
      </c>
      <c r="Z10" s="158" t="s">
        <v>201</v>
      </c>
      <c r="AA10" s="158">
        <v>3.6</v>
      </c>
      <c r="AB10" s="142">
        <v>1.8342974813829294</v>
      </c>
      <c r="AC10" s="142">
        <v>2.4917139386118947</v>
      </c>
    </row>
    <row r="11" spans="1:29" s="7" customFormat="1" ht="15.75" customHeight="1" thickBot="1">
      <c r="A11" s="150" t="s">
        <v>152</v>
      </c>
      <c r="B11" s="146">
        <v>1.7228615695359792</v>
      </c>
      <c r="C11" s="146">
        <v>7.2472215115995056</v>
      </c>
      <c r="D11" s="146">
        <v>3.8456295500139106</v>
      </c>
      <c r="E11" s="146">
        <v>8.0641107175523103</v>
      </c>
      <c r="F11" s="146">
        <v>10.782445776144982</v>
      </c>
      <c r="G11" s="146">
        <v>9.956147000797543</v>
      </c>
      <c r="H11" s="146">
        <v>2.681937482390822</v>
      </c>
      <c r="I11" s="146">
        <v>-4.6876356352151447</v>
      </c>
      <c r="J11" s="146">
        <v>-0.5776815429057558</v>
      </c>
      <c r="K11" s="146">
        <v>0.28160062756668602</v>
      </c>
      <c r="L11" s="146">
        <v>-1.0012172334975284</v>
      </c>
      <c r="M11" s="146">
        <v>-0.21564993770867014</v>
      </c>
      <c r="N11" s="146">
        <v>2.5546238789554421</v>
      </c>
      <c r="O11" s="146">
        <v>5.8155196706464407</v>
      </c>
      <c r="P11" s="146">
        <v>4.7187182761796898</v>
      </c>
      <c r="Q11" s="146">
        <v>5.9319936815593888</v>
      </c>
      <c r="R11" s="146">
        <v>4.4656652606720026</v>
      </c>
      <c r="S11" s="146">
        <v>4.1872191033357931</v>
      </c>
      <c r="T11" s="146">
        <v>-1.5336627297421246</v>
      </c>
      <c r="U11" s="146">
        <v>3.7941848074425102</v>
      </c>
      <c r="V11" s="146">
        <v>-3.064757993878775</v>
      </c>
      <c r="W11" s="146">
        <v>-4.5338634261851478</v>
      </c>
      <c r="X11" s="146">
        <v>4.4948453488221407</v>
      </c>
      <c r="Y11" s="146">
        <v>3.4655826621893926</v>
      </c>
      <c r="Z11" s="159" t="s">
        <v>201</v>
      </c>
      <c r="AA11" s="159">
        <v>2.9</v>
      </c>
      <c r="AB11" s="146">
        <v>3.173780390584735</v>
      </c>
      <c r="AC11" s="146">
        <v>3.5818484455908406</v>
      </c>
    </row>
    <row r="12" spans="1:29" s="2" customFormat="1" ht="13.5" thickBot="1">
      <c r="A12" s="151" t="s">
        <v>153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62"/>
      <c r="Z12" s="160"/>
      <c r="AA12" s="160"/>
      <c r="AB12" s="147"/>
      <c r="AC12" s="147"/>
    </row>
    <row r="13" spans="1:29" s="7" customFormat="1" ht="15.75" customHeight="1">
      <c r="A13" s="149" t="s">
        <v>154</v>
      </c>
      <c r="B13" s="142">
        <v>-6.2706897467092695</v>
      </c>
      <c r="C13" s="142">
        <v>-6.4026263377033041</v>
      </c>
      <c r="D13" s="142">
        <v>-2.7110927964521889</v>
      </c>
      <c r="E13" s="142">
        <v>-3.110922991357814</v>
      </c>
      <c r="F13" s="142">
        <v>-2.2548059938451113</v>
      </c>
      <c r="G13" s="142">
        <v>-0.69426556943321172</v>
      </c>
      <c r="H13" s="142">
        <v>-2.107165858185073</v>
      </c>
      <c r="I13" s="142">
        <v>-5.513731227818055</v>
      </c>
      <c r="J13" s="142">
        <v>-4.4189148607430448</v>
      </c>
      <c r="K13" s="142">
        <v>-2.7270290926776979</v>
      </c>
      <c r="L13" s="142">
        <v>-3.930851388825928</v>
      </c>
      <c r="M13" s="142">
        <v>-1.2479387738963104</v>
      </c>
      <c r="N13" s="142">
        <v>-2.0844635753449534</v>
      </c>
      <c r="O13" s="142">
        <v>-0.6435413336837128</v>
      </c>
      <c r="P13" s="142">
        <v>0.71206387573554175</v>
      </c>
      <c r="Q13" s="142">
        <v>1.499609331180453</v>
      </c>
      <c r="R13" s="142">
        <v>0.88061451272566338</v>
      </c>
      <c r="S13" s="142">
        <v>0.28263144798077472</v>
      </c>
      <c r="T13" s="142">
        <v>-5.648141302932725</v>
      </c>
      <c r="U13" s="142">
        <v>-4.9525052168064976</v>
      </c>
      <c r="V13" s="142">
        <v>-3.0693908334961346</v>
      </c>
      <c r="W13" s="142">
        <v>-3.7</v>
      </c>
      <c r="X13" s="142">
        <v>-2.0292805646987331</v>
      </c>
      <c r="Y13" s="142">
        <v>-2.146503188318436</v>
      </c>
      <c r="Z13" s="158" t="s">
        <v>201</v>
      </c>
      <c r="AA13" s="158">
        <v>-2.2000000000000002</v>
      </c>
      <c r="AB13" s="142">
        <v>-2.3948601274593826</v>
      </c>
      <c r="AC13" s="142">
        <v>-2.6945438791996734</v>
      </c>
    </row>
    <row r="14" spans="1:29" s="7" customFormat="1" ht="15.75" customHeight="1" thickBot="1">
      <c r="A14" s="149" t="s">
        <v>155</v>
      </c>
      <c r="B14" s="142"/>
      <c r="C14" s="142"/>
      <c r="D14" s="142"/>
      <c r="E14" s="142"/>
      <c r="F14" s="142"/>
      <c r="G14" s="142"/>
      <c r="H14" s="142"/>
      <c r="I14" s="142"/>
      <c r="J14" s="142">
        <v>38.196924127153089</v>
      </c>
      <c r="K14" s="142">
        <v>39.864512094652945</v>
      </c>
      <c r="L14" s="142">
        <v>44.480000827796623</v>
      </c>
      <c r="M14" s="142">
        <v>44.920133285299073</v>
      </c>
      <c r="N14" s="142">
        <v>41.870601263047604</v>
      </c>
      <c r="O14" s="142">
        <v>39.678032676919301</v>
      </c>
      <c r="P14" s="142">
        <v>36.595636854305639</v>
      </c>
      <c r="Q14" s="142">
        <v>34.194309563705595</v>
      </c>
      <c r="R14" s="142">
        <v>31.645894777247531</v>
      </c>
      <c r="S14" s="142">
        <v>29.538949706165816</v>
      </c>
      <c r="T14" s="142">
        <v>36.872481869978429</v>
      </c>
      <c r="U14" s="142">
        <v>40.702936428937178</v>
      </c>
      <c r="V14" s="142">
        <v>42.528850599711966</v>
      </c>
      <c r="W14" s="142">
        <v>42.2</v>
      </c>
      <c r="X14" s="142">
        <v>43.300967354906071</v>
      </c>
      <c r="Y14" s="142">
        <v>44.231091609906599</v>
      </c>
      <c r="Z14" s="158" t="s">
        <v>201</v>
      </c>
      <c r="AA14" s="158">
        <v>44.3</v>
      </c>
      <c r="AB14" s="142">
        <v>45.126405076138724</v>
      </c>
      <c r="AC14" s="142">
        <v>46.031791269661085</v>
      </c>
    </row>
    <row r="15" spans="1:29" s="2" customFormat="1" ht="13.5" thickBot="1">
      <c r="A15" s="151" t="s">
        <v>156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62"/>
      <c r="Z15" s="160"/>
      <c r="AA15" s="160"/>
      <c r="AB15" s="147"/>
      <c r="AC15" s="147"/>
    </row>
    <row r="16" spans="1:29" s="7" customFormat="1" ht="15.75" customHeight="1">
      <c r="A16" s="149" t="s">
        <v>157</v>
      </c>
      <c r="B16" s="142">
        <v>7.4</v>
      </c>
      <c r="C16" s="142">
        <v>8.4</v>
      </c>
      <c r="D16" s="142">
        <v>8.1</v>
      </c>
      <c r="E16" s="142">
        <v>7.8</v>
      </c>
      <c r="F16" s="142">
        <v>6.5</v>
      </c>
      <c r="G16" s="142">
        <v>4.9000000000000004</v>
      </c>
      <c r="H16" s="142">
        <v>4.7</v>
      </c>
      <c r="I16" s="142">
        <v>7.5</v>
      </c>
      <c r="J16" s="142">
        <v>7.0007296065268152</v>
      </c>
      <c r="K16" s="142">
        <v>6.5325996486642559</v>
      </c>
      <c r="L16" s="142">
        <v>7.2741273728713409</v>
      </c>
      <c r="M16" s="142">
        <v>6.8334065286770231</v>
      </c>
      <c r="N16" s="142">
        <v>5.9147755547827918</v>
      </c>
      <c r="O16" s="142">
        <v>4.628900683434078</v>
      </c>
      <c r="P16" s="142">
        <v>3.6571621294930954</v>
      </c>
      <c r="Q16" s="142">
        <v>2.388639020300138</v>
      </c>
      <c r="R16" s="142">
        <v>2.208671399272375</v>
      </c>
      <c r="S16" s="142">
        <v>2.0349096550228216</v>
      </c>
      <c r="T16" s="142">
        <v>3.1051676246701656</v>
      </c>
      <c r="U16" s="142">
        <v>2.2172915857042117</v>
      </c>
      <c r="V16" s="142">
        <v>2.2745748090670928</v>
      </c>
      <c r="W16" s="142">
        <v>2.8235080106592005</v>
      </c>
      <c r="X16" s="142">
        <v>2.7438452257918766</v>
      </c>
      <c r="Y16" s="142">
        <v>3.2397893586037125</v>
      </c>
      <c r="Z16" s="158" t="s">
        <v>201</v>
      </c>
      <c r="AA16" s="158">
        <v>3.2</v>
      </c>
      <c r="AB16" s="142">
        <v>3.5010841581223198</v>
      </c>
      <c r="AC16" s="142">
        <v>3.5010841581223198</v>
      </c>
    </row>
    <row r="17" spans="1:29" s="7" customFormat="1" ht="15.75" customHeight="1">
      <c r="A17" s="149" t="s">
        <v>158</v>
      </c>
      <c r="B17" s="142">
        <v>7.9705105021560696</v>
      </c>
      <c r="C17" s="142">
        <v>5.836124710126267</v>
      </c>
      <c r="D17" s="142">
        <v>6.305538648813136</v>
      </c>
      <c r="E17" s="142">
        <v>5.0269094240238177</v>
      </c>
      <c r="F17" s="142">
        <v>6.5525512429132071</v>
      </c>
      <c r="G17" s="142">
        <v>7.2188683106517937</v>
      </c>
      <c r="H17" s="142">
        <v>7.801689173068671</v>
      </c>
      <c r="I17" s="142">
        <v>3.3286118980169865</v>
      </c>
      <c r="J17" s="142">
        <v>2.2356386740211063</v>
      </c>
      <c r="K17" s="142">
        <v>2.5148159488287245</v>
      </c>
      <c r="L17" s="142">
        <v>2.4880891973157793</v>
      </c>
      <c r="M17" s="142">
        <v>-9.2156913367771875E-2</v>
      </c>
      <c r="N17" s="142">
        <v>2.8932753563185365</v>
      </c>
      <c r="O17" s="142">
        <v>3.1709047503280186</v>
      </c>
      <c r="P17" s="142">
        <v>4.4062890368648855</v>
      </c>
      <c r="Q17" s="142">
        <v>6.7046417682192105</v>
      </c>
      <c r="R17" s="142">
        <v>8.1469105744104162</v>
      </c>
      <c r="S17" s="142">
        <v>7.8630700064098002</v>
      </c>
      <c r="T17" s="142">
        <v>4.6309006496361604</v>
      </c>
      <c r="U17" s="142">
        <v>5.811660126915319</v>
      </c>
      <c r="V17" s="142">
        <v>4.3488738776577218</v>
      </c>
      <c r="W17" s="142">
        <v>7.2242667406524408</v>
      </c>
      <c r="X17" s="142">
        <v>7.231553133414037</v>
      </c>
      <c r="Y17" s="142">
        <v>7.1916290862337418</v>
      </c>
      <c r="Z17" s="158" t="s">
        <v>201</v>
      </c>
      <c r="AA17" s="158">
        <v>7.4</v>
      </c>
      <c r="AB17" s="142">
        <v>6.1153263760866272</v>
      </c>
      <c r="AC17" s="142">
        <v>5.1092192371835488</v>
      </c>
    </row>
    <row r="18" spans="1:29" s="7" customFormat="1" ht="15.75" customHeight="1" thickBot="1">
      <c r="A18" s="149" t="s">
        <v>159</v>
      </c>
      <c r="B18" s="142">
        <v>6.0474335790791311</v>
      </c>
      <c r="C18" s="142">
        <v>5.7313029071912602</v>
      </c>
      <c r="D18" s="142">
        <v>3.5830255598078953</v>
      </c>
      <c r="E18" s="142">
        <v>3.0901102395181956</v>
      </c>
      <c r="F18" s="142">
        <v>4.052551242913216</v>
      </c>
      <c r="G18" s="142">
        <v>4.3896000179688643</v>
      </c>
      <c r="H18" s="142">
        <v>1.4449529301844288</v>
      </c>
      <c r="I18" s="142">
        <v>2.2581391058671185</v>
      </c>
      <c r="J18" s="142">
        <v>0.75482497410874183</v>
      </c>
      <c r="K18" s="142">
        <v>0.60689475217912681</v>
      </c>
      <c r="L18" s="142">
        <v>-0.80960610990423731</v>
      </c>
      <c r="M18" s="142">
        <v>-1.4965497861770509</v>
      </c>
      <c r="N18" s="142">
        <v>2.5408080854222748</v>
      </c>
      <c r="O18" s="142">
        <v>2.8110360240408028</v>
      </c>
      <c r="P18" s="142">
        <v>3.7015241079330741</v>
      </c>
      <c r="Q18" s="142">
        <v>4.1649436817709606</v>
      </c>
      <c r="R18" s="142">
        <v>5.8388303314566459</v>
      </c>
      <c r="S18" s="142">
        <v>4.9029231658632488</v>
      </c>
      <c r="T18" s="142">
        <v>1.4239384364576502</v>
      </c>
      <c r="U18" s="142">
        <v>1.9217900300613433</v>
      </c>
      <c r="V18" s="142">
        <v>-9.3131946153077081</v>
      </c>
      <c r="W18" s="142">
        <v>-3.147499243804508</v>
      </c>
      <c r="X18" s="142">
        <v>4.7026274854399919</v>
      </c>
      <c r="Y18" s="142">
        <v>4.6187339859237397</v>
      </c>
      <c r="Z18" s="158" t="s">
        <v>201</v>
      </c>
      <c r="AA18" s="158">
        <v>5.0999999999999996</v>
      </c>
      <c r="AB18" s="142">
        <v>3.7472929795721033</v>
      </c>
      <c r="AC18" s="142">
        <v>2.6250823269209578</v>
      </c>
    </row>
    <row r="19" spans="1:29" s="2" customFormat="1" ht="13.5" thickBot="1">
      <c r="A19" s="151" t="s">
        <v>160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62"/>
      <c r="Z19" s="160"/>
      <c r="AA19" s="160"/>
      <c r="AB19" s="147"/>
      <c r="AC19" s="147"/>
    </row>
    <row r="20" spans="1:29" s="7" customFormat="1" ht="15.75" customHeight="1">
      <c r="A20" s="149" t="s">
        <v>161</v>
      </c>
      <c r="B20" s="142"/>
      <c r="C20" s="142"/>
      <c r="D20" s="142"/>
      <c r="E20" s="142">
        <v>5.165</v>
      </c>
      <c r="F20" s="142">
        <v>1.8009999999999999</v>
      </c>
      <c r="G20" s="142">
        <v>-21.241</v>
      </c>
      <c r="H20" s="142">
        <v>-44.332000000000001</v>
      </c>
      <c r="I20" s="142">
        <v>31.064</v>
      </c>
      <c r="J20" s="142">
        <v>-20.579000000000001</v>
      </c>
      <c r="K20" s="142">
        <v>11.977</v>
      </c>
      <c r="L20" s="142">
        <v>64.412000000000006</v>
      </c>
      <c r="M20" s="142">
        <v>106.518</v>
      </c>
      <c r="N20" s="142">
        <v>146.00800000000001</v>
      </c>
      <c r="O20" s="142">
        <v>131.37646761188921</v>
      </c>
      <c r="P20" s="142">
        <v>161.4813964355848</v>
      </c>
      <c r="Q20" s="142">
        <v>162.38908385212872</v>
      </c>
      <c r="R20" s="142">
        <v>97.17742301608331</v>
      </c>
      <c r="S20" s="142">
        <v>138.18765731899208</v>
      </c>
      <c r="T20" s="142">
        <v>186.64119963811851</v>
      </c>
      <c r="U20" s="142">
        <v>0.86188175660162236</v>
      </c>
      <c r="V20" s="142">
        <v>-216.69105845915851</v>
      </c>
      <c r="W20" s="142">
        <v>138.54622003865708</v>
      </c>
      <c r="X20" s="142">
        <v>222.21201089654514</v>
      </c>
      <c r="Y20" s="142">
        <v>218.16849736583745</v>
      </c>
      <c r="Z20" s="158" t="s">
        <v>201</v>
      </c>
      <c r="AA20" s="158">
        <v>218</v>
      </c>
      <c r="AB20" s="142">
        <v>252.13406138798595</v>
      </c>
      <c r="AC20" s="142">
        <v>247.51286876372436</v>
      </c>
    </row>
    <row r="21" spans="1:29" s="7" customFormat="1" ht="15.75" customHeight="1">
      <c r="A21" s="149" t="s">
        <v>162</v>
      </c>
      <c r="B21" s="142"/>
      <c r="C21" s="142"/>
      <c r="D21" s="142"/>
      <c r="E21" s="142">
        <v>0.15865789855232731</v>
      </c>
      <c r="F21" s="142">
        <v>5.1301917911234299E-2</v>
      </c>
      <c r="G21" s="142">
        <v>-0.5538700630897142</v>
      </c>
      <c r="H21" s="142">
        <v>-1.1049442842088577</v>
      </c>
      <c r="I21" s="142">
        <v>0.79151027263839391</v>
      </c>
      <c r="J21" s="142">
        <v>-0.52107731005707814</v>
      </c>
      <c r="K21" s="142">
        <v>0.29720487954976327</v>
      </c>
      <c r="L21" s="142">
        <v>1.5869058341923366</v>
      </c>
      <c r="M21" s="142">
        <v>2.5998541398792701</v>
      </c>
      <c r="N21" s="142">
        <v>3.3607000553104092</v>
      </c>
      <c r="O21" s="142">
        <v>2.8391210981433321</v>
      </c>
      <c r="P21" s="142">
        <v>3.3677494363444924</v>
      </c>
      <c r="Q21" s="142">
        <v>3.1736043869847035</v>
      </c>
      <c r="R21" s="142">
        <v>1.7728945910883562</v>
      </c>
      <c r="S21" s="142">
        <v>2.34557550184</v>
      </c>
      <c r="T21" s="142">
        <v>3.2014087143506975</v>
      </c>
      <c r="U21" s="142">
        <v>1.3667513787158454E-2</v>
      </c>
      <c r="V21" s="142">
        <v>-3.0743005317207062</v>
      </c>
      <c r="W21" s="142">
        <v>1.8068304100744084</v>
      </c>
      <c r="X21" s="142">
        <v>2.7582041076965269</v>
      </c>
      <c r="Y21" s="142">
        <v>2.5486512494906628</v>
      </c>
      <c r="Z21" s="158" t="s">
        <v>201</v>
      </c>
      <c r="AA21" s="158">
        <v>2.5</v>
      </c>
      <c r="AB21" s="142">
        <v>2.8084921413603898</v>
      </c>
      <c r="AC21" s="142">
        <v>2.6154285707860607</v>
      </c>
    </row>
    <row r="22" spans="1:29" s="7" customFormat="1" ht="15.75" customHeight="1">
      <c r="A22" s="149" t="s">
        <v>163</v>
      </c>
      <c r="B22" s="142">
        <v>-136.37810000000002</v>
      </c>
      <c r="C22" s="142">
        <v>-160.6146</v>
      </c>
      <c r="D22" s="142">
        <v>-128.79069999999999</v>
      </c>
      <c r="E22" s="142">
        <v>-30.763900000000003</v>
      </c>
      <c r="F22" s="142">
        <v>-74.274600000000007</v>
      </c>
      <c r="G22" s="142">
        <v>-164.48510000000002</v>
      </c>
      <c r="H22" s="142">
        <v>-75.2547</v>
      </c>
      <c r="I22" s="142">
        <v>-89.203000000000003</v>
      </c>
      <c r="J22" s="142">
        <v>-141.776532</v>
      </c>
      <c r="K22" s="142">
        <v>-84.80080000000001</v>
      </c>
      <c r="L22" s="142">
        <v>-63.312950999999998</v>
      </c>
      <c r="M22" s="142">
        <v>-21.784396999999998</v>
      </c>
      <c r="N22" s="142">
        <v>7.8827359999999995</v>
      </c>
      <c r="O22" s="142">
        <v>20.746110999999988</v>
      </c>
      <c r="P22" s="142">
        <v>85.177006999999989</v>
      </c>
      <c r="Q22" s="142">
        <v>79.089504000000019</v>
      </c>
      <c r="R22" s="142">
        <v>21.466622025631121</v>
      </c>
      <c r="S22" s="142">
        <v>19.563884290025676</v>
      </c>
      <c r="T22" s="142">
        <v>102.5205578139087</v>
      </c>
      <c r="U22" s="142">
        <v>-129.69783550664013</v>
      </c>
      <c r="V22" s="142">
        <v>-330.29294076819292</v>
      </c>
      <c r="W22" s="142">
        <v>23.748334405531565</v>
      </c>
      <c r="X22" s="142">
        <v>140.506</v>
      </c>
      <c r="Y22" s="142">
        <v>63</v>
      </c>
      <c r="Z22" s="158" t="s">
        <v>201</v>
      </c>
      <c r="AA22" s="158">
        <v>63</v>
      </c>
      <c r="AB22" s="142">
        <v>100</v>
      </c>
      <c r="AC22" s="142">
        <v>80</v>
      </c>
    </row>
    <row r="23" spans="1:29" s="7" customFormat="1" ht="15.75" customHeight="1" thickBot="1">
      <c r="A23" s="149" t="s">
        <v>164</v>
      </c>
      <c r="B23" s="142">
        <v>-5.0990663919807675</v>
      </c>
      <c r="C23" s="142">
        <v>-5.7340670082279592</v>
      </c>
      <c r="D23" s="142">
        <v>-4.2183998401608873</v>
      </c>
      <c r="E23" s="142">
        <v>-0.94500207652932089</v>
      </c>
      <c r="F23" s="142">
        <v>-2.1157298345862094</v>
      </c>
      <c r="G23" s="142">
        <v>-4.2890340715746875</v>
      </c>
      <c r="H23" s="142">
        <v>-1.8756710869090569</v>
      </c>
      <c r="I23" s="142">
        <v>-2.2728911553619189</v>
      </c>
      <c r="J23" s="142">
        <v>-3.5898991167588932</v>
      </c>
      <c r="K23" s="142">
        <v>-2.1043008724825554</v>
      </c>
      <c r="L23" s="142">
        <v>-1.5598287791379484</v>
      </c>
      <c r="M23" s="142">
        <v>-0.5317059532212729</v>
      </c>
      <c r="N23" s="142">
        <v>0.18143876576076209</v>
      </c>
      <c r="O23" s="142">
        <v>0.44833540218577989</v>
      </c>
      <c r="P23" s="142">
        <v>1.7763954464450504</v>
      </c>
      <c r="Q23" s="142">
        <v>1.5456629898066514</v>
      </c>
      <c r="R23" s="142">
        <v>0.39163477376716199</v>
      </c>
      <c r="S23" s="142">
        <v>0.33207428653043586</v>
      </c>
      <c r="T23" s="142">
        <v>1.7585088813290615</v>
      </c>
      <c r="U23" s="142">
        <v>-2.0567171092483902</v>
      </c>
      <c r="V23" s="142">
        <v>-4.6860252132583291</v>
      </c>
      <c r="W23" s="142">
        <v>0.30971045460899821</v>
      </c>
      <c r="X23" s="142">
        <v>1.7440291584258083</v>
      </c>
      <c r="Y23" s="142">
        <v>0.70092188751255091</v>
      </c>
      <c r="Z23" s="158" t="s">
        <v>201</v>
      </c>
      <c r="AA23" s="158">
        <v>0.7</v>
      </c>
      <c r="AB23" s="142">
        <v>1.1138884313764572</v>
      </c>
      <c r="AC23" s="142">
        <v>0.84534709935676022</v>
      </c>
    </row>
    <row r="24" spans="1:29" s="2" customFormat="1" ht="13.5" thickBot="1">
      <c r="A24" s="151" t="s">
        <v>165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62"/>
      <c r="Z24" s="160"/>
      <c r="AA24" s="160"/>
      <c r="AB24" s="147"/>
      <c r="AC24" s="147"/>
    </row>
    <row r="25" spans="1:29" s="7" customFormat="1" ht="15.75" customHeight="1">
      <c r="A25" s="149" t="s">
        <v>166</v>
      </c>
      <c r="B25" s="142">
        <v>1.9230769230769384</v>
      </c>
      <c r="C25" s="142">
        <v>0.10482180293500676</v>
      </c>
      <c r="D25" s="142">
        <v>2.7225130890052407</v>
      </c>
      <c r="E25" s="142">
        <v>1.9367991845056221</v>
      </c>
      <c r="F25" s="142">
        <v>2.4999999999999911</v>
      </c>
      <c r="G25" s="142">
        <v>2.8292682926829293</v>
      </c>
      <c r="H25" s="142">
        <v>6.3567362428842422</v>
      </c>
      <c r="I25" s="142">
        <v>1.070472792149868</v>
      </c>
      <c r="J25" s="142">
        <v>1.4808136999123644</v>
      </c>
      <c r="K25" s="142">
        <v>1.9079211966495979</v>
      </c>
      <c r="L25" s="142">
        <v>3.2976953072200166</v>
      </c>
      <c r="M25" s="142">
        <v>1.4043928728092792</v>
      </c>
      <c r="N25" s="142">
        <v>0.35246727089626173</v>
      </c>
      <c r="O25" s="142">
        <v>0.35122930255893081</v>
      </c>
      <c r="P25" s="142">
        <v>0.67499999999998117</v>
      </c>
      <c r="Q25" s="142">
        <v>2.433573379687104</v>
      </c>
      <c r="R25" s="142">
        <v>2.1</v>
      </c>
      <c r="S25" s="142">
        <v>2.8</v>
      </c>
      <c r="T25" s="142">
        <v>3.2</v>
      </c>
      <c r="U25" s="142">
        <v>3.8</v>
      </c>
      <c r="V25" s="142">
        <v>15.1</v>
      </c>
      <c r="W25" s="142">
        <v>10.7</v>
      </c>
      <c r="X25" s="142">
        <v>2.4</v>
      </c>
      <c r="Y25" s="142">
        <v>2.5</v>
      </c>
      <c r="Z25" s="158" t="s">
        <v>202</v>
      </c>
      <c r="AA25" s="158">
        <v>1.6</v>
      </c>
      <c r="AB25" s="142">
        <v>2.2826873416211368</v>
      </c>
      <c r="AC25" s="142">
        <v>2.4211249868670404</v>
      </c>
    </row>
    <row r="26" spans="1:29" s="7" customFormat="1" ht="15.75" customHeight="1" thickBot="1">
      <c r="A26" s="149" t="s">
        <v>167</v>
      </c>
      <c r="B26" s="142">
        <v>1.7</v>
      </c>
      <c r="C26" s="142">
        <v>0.6</v>
      </c>
      <c r="D26" s="142">
        <v>1.2250000000000001</v>
      </c>
      <c r="E26" s="142">
        <v>0.7583333333333333</v>
      </c>
      <c r="F26" s="142">
        <v>0.56666666666666665</v>
      </c>
      <c r="G26" s="142">
        <v>0.69166666666666654</v>
      </c>
      <c r="H26" s="142">
        <v>2.0083333333333333</v>
      </c>
      <c r="I26" s="142">
        <v>8.3333333333332985E-3</v>
      </c>
      <c r="J26" s="142">
        <v>-1.1997499999999999</v>
      </c>
      <c r="K26" s="142">
        <v>-0.69382500000000003</v>
      </c>
      <c r="L26" s="142">
        <v>-0.33224999999999999</v>
      </c>
      <c r="M26" s="142">
        <v>-0.51824999999999999</v>
      </c>
      <c r="N26" s="142">
        <v>0.48287610141428683</v>
      </c>
      <c r="O26" s="142">
        <v>1.1638007773508097</v>
      </c>
      <c r="P26" s="142">
        <v>1.1906765762832894</v>
      </c>
      <c r="Q26" s="142">
        <v>2.4338174066589779</v>
      </c>
      <c r="R26" s="142">
        <v>2.0844838949982014</v>
      </c>
      <c r="S26" s="142">
        <v>2.6932372876644406</v>
      </c>
      <c r="T26" s="142">
        <v>3.3568780413241406</v>
      </c>
      <c r="U26" s="142">
        <v>4.8017604276154202</v>
      </c>
      <c r="V26" s="142">
        <v>13.248047125596063</v>
      </c>
      <c r="W26" s="142">
        <v>7.5065001336926729</v>
      </c>
      <c r="X26" s="142">
        <v>2.4643628502946324</v>
      </c>
      <c r="Y26" s="142">
        <v>2.6984257289542457</v>
      </c>
      <c r="Z26" s="158" t="s">
        <v>202</v>
      </c>
      <c r="AA26" s="158">
        <v>2.8</v>
      </c>
      <c r="AB26" s="142">
        <v>2.5789333422182148</v>
      </c>
      <c r="AC26" s="142">
        <v>2.7721040124556229</v>
      </c>
    </row>
    <row r="27" spans="1:29" s="2" customFormat="1" ht="13.5" thickBot="1">
      <c r="A27" s="151" t="s">
        <v>168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62"/>
      <c r="Z27" s="160"/>
      <c r="AA27" s="160"/>
      <c r="AB27" s="147"/>
      <c r="AC27" s="147"/>
    </row>
    <row r="28" spans="1:29" s="7" customFormat="1" ht="15.75" customHeight="1">
      <c r="A28" s="149" t="s">
        <v>169</v>
      </c>
      <c r="B28" s="142">
        <v>30.816916666666668</v>
      </c>
      <c r="C28" s="142">
        <v>31.871327880184328</v>
      </c>
      <c r="D28" s="142">
        <v>31.914310477691259</v>
      </c>
      <c r="E28" s="142">
        <v>29.796621422171018</v>
      </c>
      <c r="F28" s="142">
        <v>28.355392204301072</v>
      </c>
      <c r="G28" s="142">
        <v>27.788049046338969</v>
      </c>
      <c r="H28" s="142">
        <v>25.00603939871462</v>
      </c>
      <c r="I28" s="142">
        <v>26.499368663594471</v>
      </c>
      <c r="J28" s="142">
        <v>25.291833324999995</v>
      </c>
      <c r="K28" s="142">
        <v>24.587999025000006</v>
      </c>
      <c r="L28" s="142">
        <v>25.13314478166761</v>
      </c>
      <c r="M28" s="142">
        <v>25.975156889547648</v>
      </c>
      <c r="N28" s="142">
        <v>27.534111100915993</v>
      </c>
      <c r="O28" s="142">
        <v>27.284893541000063</v>
      </c>
      <c r="P28" s="142">
        <v>27.032842030553986</v>
      </c>
      <c r="Q28" s="142">
        <v>26.331129861503232</v>
      </c>
      <c r="R28" s="142">
        <v>25.64617388951628</v>
      </c>
      <c r="S28" s="142">
        <v>25.667208680751617</v>
      </c>
      <c r="T28" s="142">
        <v>26.459318970763537</v>
      </c>
      <c r="U28" s="142">
        <v>25.644397633948181</v>
      </c>
      <c r="V28" s="142">
        <v>24.557483374898048</v>
      </c>
      <c r="W28" s="142">
        <v>23.998594068793526</v>
      </c>
      <c r="X28" s="142">
        <v>25.11817172666515</v>
      </c>
      <c r="Y28" s="142">
        <v>24.692604354265111</v>
      </c>
      <c r="Z28" s="158" t="s">
        <v>202</v>
      </c>
      <c r="AA28" s="158">
        <v>24.33</v>
      </c>
      <c r="AB28" s="142">
        <v>24.231255952380952</v>
      </c>
      <c r="AC28" s="142">
        <v>23.971590340765307</v>
      </c>
    </row>
    <row r="29" spans="1:29" s="7" customFormat="1" ht="15.75" customHeight="1">
      <c r="A29" s="149" t="s">
        <v>170</v>
      </c>
      <c r="B29" s="142">
        <v>32.738583333333331</v>
      </c>
      <c r="C29" s="142">
        <v>28.195713467376063</v>
      </c>
      <c r="D29" s="142">
        <v>25.687233602587479</v>
      </c>
      <c r="E29" s="142">
        <v>23.958776615715461</v>
      </c>
      <c r="F29" s="142">
        <v>22.594825318864469</v>
      </c>
      <c r="G29" s="142">
        <v>20.313585007940272</v>
      </c>
      <c r="H29" s="142">
        <v>17.098434305577523</v>
      </c>
      <c r="I29" s="142">
        <v>19.080961825758017</v>
      </c>
      <c r="J29" s="142">
        <v>19.098249974999998</v>
      </c>
      <c r="K29" s="142">
        <v>17.686222099999998</v>
      </c>
      <c r="L29" s="142">
        <v>19.554183322118703</v>
      </c>
      <c r="M29" s="142">
        <v>19.556956803987077</v>
      </c>
      <c r="N29" s="142">
        <v>20.756029497145366</v>
      </c>
      <c r="O29" s="142">
        <v>24.585424328847481</v>
      </c>
      <c r="P29" s="142">
        <v>24.436200192923017</v>
      </c>
      <c r="Q29" s="142">
        <v>23.377478600915993</v>
      </c>
      <c r="R29" s="142">
        <v>21.738216429355671</v>
      </c>
      <c r="S29" s="142">
        <v>22.931515264288851</v>
      </c>
      <c r="T29" s="142">
        <v>23.215152951879041</v>
      </c>
      <c r="U29" s="142">
        <v>21.680363775879918</v>
      </c>
      <c r="V29" s="142">
        <v>23.352777711509507</v>
      </c>
      <c r="W29" s="142">
        <v>22.192993352782484</v>
      </c>
      <c r="X29" s="142">
        <v>23.216983977937268</v>
      </c>
      <c r="Y29" s="142">
        <v>21.918266666542841</v>
      </c>
      <c r="Z29" s="158" t="s">
        <v>202</v>
      </c>
      <c r="AA29" s="158">
        <v>20.78</v>
      </c>
      <c r="AB29" s="142">
        <v>20.486108181132195</v>
      </c>
      <c r="AC29" s="142">
        <v>19.976325283971089</v>
      </c>
    </row>
    <row r="30" spans="1:29" s="7" customFormat="1" ht="15.75" customHeight="1">
      <c r="A30" s="149" t="s">
        <v>171</v>
      </c>
      <c r="B30" s="142">
        <v>3.579463109354414</v>
      </c>
      <c r="C30" s="142">
        <v>2.2861783154121862</v>
      </c>
      <c r="D30" s="142">
        <v>2.2172267025089605</v>
      </c>
      <c r="E30" s="142">
        <v>1.9555779569892471</v>
      </c>
      <c r="F30" s="142">
        <v>2.1728046594982078</v>
      </c>
      <c r="G30" s="142">
        <v>2.8616039426523296</v>
      </c>
      <c r="H30" s="142">
        <v>3.4899772895810162</v>
      </c>
      <c r="I30" s="142">
        <v>1.5262576804915513</v>
      </c>
      <c r="J30" s="142">
        <v>0.83733333333333337</v>
      </c>
      <c r="K30" s="142">
        <v>0.75</v>
      </c>
      <c r="L30" s="142">
        <v>0.52833333333333332</v>
      </c>
      <c r="M30" s="142">
        <v>5.0000000000000037E-2</v>
      </c>
      <c r="N30" s="142">
        <v>0.05</v>
      </c>
      <c r="O30" s="142">
        <v>0.05</v>
      </c>
      <c r="P30" s="142">
        <v>0.05</v>
      </c>
      <c r="Q30" s="142">
        <v>0.170825</v>
      </c>
      <c r="R30" s="142">
        <v>1.0617749999999999</v>
      </c>
      <c r="S30" s="142">
        <v>1.915675</v>
      </c>
      <c r="T30" s="142">
        <v>0.77205000000000001</v>
      </c>
      <c r="U30" s="142">
        <v>0.87882499999999997</v>
      </c>
      <c r="V30" s="142">
        <v>5.9441249999999997</v>
      </c>
      <c r="W30" s="142">
        <v>6.9956140350877192</v>
      </c>
      <c r="X30" s="142">
        <v>5.1264430014430022</v>
      </c>
      <c r="Y30" s="142">
        <v>3.611622807017544</v>
      </c>
      <c r="Z30" s="158" t="s">
        <v>202</v>
      </c>
      <c r="AA30" s="158">
        <v>3.54</v>
      </c>
      <c r="AB30" s="142">
        <v>3.5</v>
      </c>
      <c r="AC30" s="142">
        <v>3.3996212121212119</v>
      </c>
    </row>
    <row r="31" spans="1:29" s="7" customFormat="1" ht="15.75" customHeight="1">
      <c r="A31" s="149" t="s">
        <v>82</v>
      </c>
      <c r="B31" s="142">
        <v>3.5491666666666668</v>
      </c>
      <c r="C31" s="142">
        <v>2.2759788786482331</v>
      </c>
      <c r="D31" s="142">
        <v>2.3597013966135214</v>
      </c>
      <c r="E31" s="142">
        <v>2.0064745263696877</v>
      </c>
      <c r="F31" s="142">
        <v>2.3012443036354333</v>
      </c>
      <c r="G31" s="142">
        <v>3.0956838837685612</v>
      </c>
      <c r="H31" s="142">
        <v>4.0338011061673464</v>
      </c>
      <c r="I31" s="142">
        <v>2.1976389528929854</v>
      </c>
      <c r="J31" s="142">
        <v>1.3122499999999999</v>
      </c>
      <c r="K31" s="142">
        <v>1.1891684587813622</v>
      </c>
      <c r="L31" s="142">
        <v>0.99788623161537482</v>
      </c>
      <c r="M31" s="142">
        <v>0.45698745519713274</v>
      </c>
      <c r="N31" s="142">
        <v>0.35694999999999999</v>
      </c>
      <c r="O31" s="142">
        <v>0.30831168824999999</v>
      </c>
      <c r="P31" s="142">
        <v>0.28880952383333336</v>
      </c>
      <c r="Q31" s="142">
        <v>0.40802254758333334</v>
      </c>
      <c r="R31" s="142">
        <v>1.2722270715000001</v>
      </c>
      <c r="S31" s="142">
        <v>2.1175227272499999</v>
      </c>
      <c r="T31" s="142">
        <v>0.85833337133333343</v>
      </c>
      <c r="U31" s="142">
        <v>1.1261996753333334</v>
      </c>
      <c r="V31" s="142">
        <v>6.2805599329166677</v>
      </c>
      <c r="W31" s="142">
        <v>7.1246121026930522</v>
      </c>
      <c r="X31" s="142">
        <v>4.9759522385509225</v>
      </c>
      <c r="Y31" s="142">
        <v>3.5980257428815783</v>
      </c>
      <c r="Z31" s="158" t="s">
        <v>202</v>
      </c>
      <c r="AA31" s="158">
        <v>3.51</v>
      </c>
      <c r="AB31" s="142">
        <v>3.5500000000000003</v>
      </c>
      <c r="AC31" s="142">
        <v>3.4390514364133042</v>
      </c>
    </row>
    <row r="32" spans="1:29" s="7" customFormat="1" ht="15.75" customHeight="1">
      <c r="A32" s="149" t="s">
        <v>83</v>
      </c>
      <c r="B32" s="142">
        <v>3.6124999999999998</v>
      </c>
      <c r="C32" s="142">
        <v>2.3186209677419352</v>
      </c>
      <c r="D32" s="142">
        <v>2.7072493202323566</v>
      </c>
      <c r="E32" s="142">
        <v>2.1281641065028167</v>
      </c>
      <c r="F32" s="142">
        <v>2.6489300435227854</v>
      </c>
      <c r="G32" s="142">
        <v>3.421755952380952</v>
      </c>
      <c r="H32" s="142">
        <v>4.2015807687554076</v>
      </c>
      <c r="I32" s="142">
        <v>2.6329759984639014</v>
      </c>
      <c r="J32" s="142">
        <v>1.8594999999999997</v>
      </c>
      <c r="K32" s="142">
        <v>1.7729680619559651</v>
      </c>
      <c r="L32" s="142">
        <v>1.4788645408478562</v>
      </c>
      <c r="M32" s="142">
        <v>0.74657290066564264</v>
      </c>
      <c r="N32" s="142">
        <v>0.53289999999999993</v>
      </c>
      <c r="O32" s="142">
        <v>0.47899170283333331</v>
      </c>
      <c r="P32" s="142">
        <v>0.44981150791666669</v>
      </c>
      <c r="Q32" s="142">
        <v>0.57990154966666674</v>
      </c>
      <c r="R32" s="142">
        <v>1.4836545149166667</v>
      </c>
      <c r="S32" s="142">
        <v>2.2467263801666664</v>
      </c>
      <c r="T32" s="142">
        <v>0.93036055099999992</v>
      </c>
      <c r="U32" s="142">
        <v>1.44385876625</v>
      </c>
      <c r="V32" s="142">
        <v>6.5196290324166668</v>
      </c>
      <c r="W32" s="142">
        <v>6.945516013491126</v>
      </c>
      <c r="X32" s="142">
        <v>4.335413619275462</v>
      </c>
      <c r="Y32" s="142">
        <v>3.5122137722435207</v>
      </c>
      <c r="Z32" s="158" t="s">
        <v>202</v>
      </c>
      <c r="AA32" s="158">
        <v>3.49</v>
      </c>
      <c r="AB32" s="142">
        <v>3.59</v>
      </c>
      <c r="AC32" s="142">
        <v>3.4048880930084899</v>
      </c>
    </row>
    <row r="33" spans="1:29" s="7" customFormat="1" ht="15.75" customHeight="1">
      <c r="A33" s="149" t="s">
        <v>172</v>
      </c>
      <c r="B33" s="142">
        <v>4.8231666666666673</v>
      </c>
      <c r="C33" s="142">
        <v>4.1506666666666669</v>
      </c>
      <c r="D33" s="142">
        <v>4.8355300000000003</v>
      </c>
      <c r="E33" s="142">
        <v>3.5606666666666666</v>
      </c>
      <c r="F33" s="142">
        <v>3.7749999999999999</v>
      </c>
      <c r="G33" s="142">
        <v>4.3771666666666667</v>
      </c>
      <c r="H33" s="142">
        <v>4.6603333333333339</v>
      </c>
      <c r="I33" s="142">
        <v>4.7719166666666668</v>
      </c>
      <c r="J33" s="142">
        <v>3.8707161738351257</v>
      </c>
      <c r="K33" s="142">
        <v>3.772224814388121</v>
      </c>
      <c r="L33" s="142">
        <v>2.8292385366456565</v>
      </c>
      <c r="M33" s="142">
        <v>2.1036222414234511</v>
      </c>
      <c r="N33" s="142">
        <v>2.1055250000000001</v>
      </c>
      <c r="O33" s="142">
        <v>0.69450186024999994</v>
      </c>
      <c r="P33" s="142">
        <v>0.44398644041666668</v>
      </c>
      <c r="Q33" s="142">
        <v>1.0569801730833335</v>
      </c>
      <c r="R33" s="142">
        <v>2.0234633625833336</v>
      </c>
      <c r="S33" s="142">
        <v>1.6120003279999999</v>
      </c>
      <c r="T33" s="142">
        <v>1.1839933571666668</v>
      </c>
      <c r="U33" s="142">
        <v>1.9585750838333333</v>
      </c>
      <c r="V33" s="142">
        <v>4.4488789870833338</v>
      </c>
      <c r="W33" s="142">
        <v>4.5210632889453546</v>
      </c>
      <c r="X33" s="142">
        <v>4.0151556590752246</v>
      </c>
      <c r="Y33" s="142">
        <v>4.3167125739249306</v>
      </c>
      <c r="Z33" s="158" t="s">
        <v>202</v>
      </c>
      <c r="AA33" s="158">
        <v>4.59</v>
      </c>
      <c r="AB33" s="142">
        <v>4.49</v>
      </c>
      <c r="AC33" s="142">
        <v>4.1174999999999997</v>
      </c>
    </row>
    <row r="34" spans="1:29" s="7" customFormat="1" ht="16.5" customHeight="1">
      <c r="B34" s="8"/>
      <c r="C34" s="8"/>
      <c r="D34" s="8"/>
      <c r="E34" s="8"/>
      <c r="F34" s="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9" s="7" customFormat="1">
      <c r="A35" s="10" t="s">
        <v>173</v>
      </c>
      <c r="B35" s="8"/>
      <c r="C35" s="8"/>
      <c r="D35" s="8"/>
      <c r="E35" s="8"/>
      <c r="F35" s="8"/>
    </row>
    <row r="36" spans="1:29" s="7" customFormat="1" ht="12" customHeight="1">
      <c r="A36" s="11" t="s">
        <v>174</v>
      </c>
      <c r="B36" s="8"/>
      <c r="C36" s="8"/>
      <c r="D36" s="8"/>
      <c r="E36" s="8"/>
      <c r="F36" s="8"/>
    </row>
    <row r="37" spans="1:29" s="7" customFormat="1" ht="12.75" customHeight="1">
      <c r="A37" s="11" t="s">
        <v>175</v>
      </c>
      <c r="B37" s="8"/>
      <c r="C37" s="8"/>
      <c r="D37" s="8"/>
      <c r="E37" s="8"/>
      <c r="F37" s="8"/>
    </row>
    <row r="38" spans="1:29" s="7" customFormat="1" ht="12.75" customHeight="1">
      <c r="A38" s="11"/>
      <c r="B38" s="8"/>
      <c r="C38" s="8"/>
      <c r="D38" s="8"/>
      <c r="E38" s="8"/>
      <c r="F38" s="8"/>
    </row>
    <row r="39" spans="1:29" s="7" customFormat="1" ht="10.5" customHeight="1">
      <c r="A39" s="163"/>
      <c r="B39" s="163"/>
      <c r="C39" s="163"/>
      <c r="D39" s="163"/>
      <c r="E39" s="163"/>
      <c r="F39" s="163"/>
      <c r="G39" s="163"/>
      <c r="H39" s="163"/>
    </row>
    <row r="40" spans="1:29">
      <c r="A40" s="3"/>
      <c r="B40" s="4"/>
      <c r="C40" s="4"/>
      <c r="D40" s="4"/>
      <c r="E40" s="5"/>
      <c r="F40" s="5"/>
      <c r="G40" s="3"/>
      <c r="H40" s="3"/>
      <c r="I40" s="3"/>
    </row>
    <row r="41" spans="1:29">
      <c r="A41" s="3"/>
      <c r="B41" s="6"/>
      <c r="C41" s="6"/>
      <c r="D41" s="6"/>
      <c r="E41" s="6"/>
      <c r="F41" s="6"/>
      <c r="G41" s="3"/>
      <c r="H41" s="3"/>
      <c r="I41" s="3"/>
    </row>
    <row r="42" spans="1:29">
      <c r="A42" s="3"/>
      <c r="B42" s="6"/>
      <c r="C42" s="6"/>
      <c r="D42" s="6"/>
      <c r="E42" s="6"/>
      <c r="F42" s="6"/>
      <c r="G42" s="3"/>
      <c r="H42" s="3"/>
      <c r="I42" s="3"/>
    </row>
    <row r="43" spans="1:29">
      <c r="A43" s="3"/>
    </row>
    <row r="44" spans="1:29">
      <c r="A44" s="3"/>
    </row>
  </sheetData>
  <mergeCells count="3">
    <mergeCell ref="A39:H39"/>
    <mergeCell ref="Z2:AA2"/>
    <mergeCell ref="Z3:AA3"/>
  </mergeCells>
  <pageMargins left="0.78740157499999996" right="0.78740157499999996" top="0.984251969" bottom="0.984251969" header="0.4921259845" footer="0.4921259845"/>
  <pageSetup paperSize="9" scale="66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ist8"/>
  <dimension ref="B1:D7"/>
  <sheetViews>
    <sheetView showGridLines="0" zoomScaleNormal="100" workbookViewId="0"/>
  </sheetViews>
  <sheetFormatPr defaultColWidth="9.28515625" defaultRowHeight="12.75"/>
  <cols>
    <col min="1" max="1" width="9.28515625" style="13"/>
    <col min="2" max="2" width="25.28515625" style="13" customWidth="1"/>
    <col min="3" max="3" width="18.5703125" style="13" customWidth="1"/>
    <col min="4" max="4" width="17.7109375" style="13" customWidth="1"/>
    <col min="5" max="16384" width="9.28515625" style="13"/>
  </cols>
  <sheetData>
    <row r="1" spans="2:4" ht="13.5" thickBot="1"/>
    <row r="2" spans="2:4" ht="13.5" thickBot="1">
      <c r="B2" s="110" t="s">
        <v>14</v>
      </c>
      <c r="C2" s="137" t="s">
        <v>15</v>
      </c>
      <c r="D2" s="137" t="s">
        <v>16</v>
      </c>
    </row>
    <row r="3" spans="2:4" ht="13.5" thickBot="1">
      <c r="B3" s="13" t="s">
        <v>86</v>
      </c>
      <c r="C3" s="18">
        <v>152000000</v>
      </c>
      <c r="D3" s="20">
        <v>1</v>
      </c>
    </row>
    <row r="4" spans="2:4" ht="13.5" thickBot="1">
      <c r="B4" s="138" t="s">
        <v>17</v>
      </c>
      <c r="C4" s="139">
        <v>152000000</v>
      </c>
      <c r="D4" s="140">
        <f>SUM(D1:D3)</f>
        <v>1</v>
      </c>
    </row>
    <row r="5" spans="2:4">
      <c r="B5" s="12"/>
      <c r="C5" s="83"/>
      <c r="D5" s="84"/>
    </row>
    <row r="6" spans="2:4">
      <c r="B6" s="12"/>
    </row>
    <row r="7" spans="2:4">
      <c r="B7" s="1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10"/>
  <dimension ref="A1:D9"/>
  <sheetViews>
    <sheetView showGridLines="0" zoomScaleNormal="100" workbookViewId="0"/>
  </sheetViews>
  <sheetFormatPr defaultColWidth="9.28515625" defaultRowHeight="12.75"/>
  <cols>
    <col min="1" max="1" width="4.28515625" style="13" customWidth="1"/>
    <col min="2" max="2" width="12" style="13" customWidth="1"/>
    <col min="3" max="3" width="64.42578125" style="13" customWidth="1"/>
    <col min="4" max="4" width="10.85546875" style="13" bestFit="1" customWidth="1"/>
    <col min="5" max="16384" width="9.28515625" style="13"/>
  </cols>
  <sheetData>
    <row r="1" spans="1:4">
      <c r="A1" s="12"/>
      <c r="B1" s="12"/>
      <c r="C1" s="12"/>
      <c r="D1" s="12"/>
    </row>
    <row r="2" spans="1:4">
      <c r="A2" s="12"/>
      <c r="B2" s="85" t="s">
        <v>18</v>
      </c>
    </row>
    <row r="3" spans="1:4">
      <c r="A3" s="12"/>
      <c r="D3" s="87"/>
    </row>
    <row r="4" spans="1:4">
      <c r="B4" s="88"/>
      <c r="C4" s="13" t="s">
        <v>197</v>
      </c>
      <c r="D4" s="94">
        <v>46079</v>
      </c>
    </row>
    <row r="5" spans="1:4">
      <c r="C5" s="13" t="s">
        <v>198</v>
      </c>
      <c r="D5" s="94">
        <v>46142</v>
      </c>
    </row>
    <row r="6" spans="1:4">
      <c r="B6" s="88"/>
      <c r="C6" s="13" t="s">
        <v>199</v>
      </c>
      <c r="D6" s="94">
        <v>46233</v>
      </c>
    </row>
    <row r="7" spans="1:4">
      <c r="C7" s="13" t="s">
        <v>200</v>
      </c>
      <c r="D7" s="94">
        <v>46325</v>
      </c>
    </row>
    <row r="9" spans="1:4">
      <c r="B9" s="86" t="s">
        <v>93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List12"/>
  <dimension ref="B2:B14"/>
  <sheetViews>
    <sheetView showGridLines="0" zoomScaleNormal="100" workbookViewId="0"/>
  </sheetViews>
  <sheetFormatPr defaultColWidth="9.28515625" defaultRowHeight="12.75"/>
  <cols>
    <col min="1" max="16384" width="9.28515625" style="13"/>
  </cols>
  <sheetData>
    <row r="2" spans="2:2">
      <c r="B2" s="85" t="s">
        <v>19</v>
      </c>
    </row>
    <row r="4" spans="2:2">
      <c r="B4" s="85" t="s">
        <v>126</v>
      </c>
    </row>
    <row r="5" spans="2:2">
      <c r="B5" s="89" t="s">
        <v>127</v>
      </c>
    </row>
    <row r="6" spans="2:2">
      <c r="B6" s="13" t="s">
        <v>143</v>
      </c>
    </row>
    <row r="8" spans="2:2">
      <c r="B8" s="85" t="s">
        <v>131</v>
      </c>
    </row>
    <row r="9" spans="2:2">
      <c r="B9" s="89" t="s">
        <v>132</v>
      </c>
    </row>
    <row r="10" spans="2:2">
      <c r="B10" s="13" t="s">
        <v>133</v>
      </c>
    </row>
    <row r="12" spans="2:2">
      <c r="B12" s="85" t="s">
        <v>134</v>
      </c>
    </row>
    <row r="13" spans="2:2">
      <c r="B13" s="89" t="s">
        <v>135</v>
      </c>
    </row>
    <row r="14" spans="2:2">
      <c r="B14" s="13" t="s">
        <v>142</v>
      </c>
    </row>
  </sheetData>
  <phoneticPr fontId="0" type="noConversion"/>
  <hyperlinks>
    <hyperlink ref="B5" r:id="rId1" display="msadlek@csas.cz" xr:uid="{00000000-0004-0000-0D00-000002000000}"/>
  </hyperlinks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4"/>
  <dimension ref="A1:BI191"/>
  <sheetViews>
    <sheetView showGridLines="0" zoomScaleNormal="100" workbookViewId="0">
      <pane xSplit="2" ySplit="1" topLeftCell="V2" activePane="bottomRight" state="frozen"/>
      <selection activeCell="P34" sqref="P34"/>
      <selection pane="topRight" activeCell="P34" sqref="P34"/>
      <selection pane="bottomLeft" activeCell="P34" sqref="P34"/>
      <selection pane="bottomRight"/>
    </sheetView>
  </sheetViews>
  <sheetFormatPr defaultColWidth="9.28515625" defaultRowHeight="12.75"/>
  <cols>
    <col min="1" max="1" width="2.7109375" style="14" customWidth="1"/>
    <col min="2" max="2" width="66.42578125" style="14" customWidth="1"/>
    <col min="3" max="5" width="14.28515625" style="14" customWidth="1"/>
    <col min="6" max="7" width="13.28515625" style="14" customWidth="1"/>
    <col min="8" max="8" width="13" style="14" customWidth="1"/>
    <col min="9" max="9" width="15" style="14" customWidth="1"/>
    <col min="10" max="10" width="13.42578125" style="28" customWidth="1"/>
    <col min="11" max="11" width="11.7109375" style="14" bestFit="1" customWidth="1"/>
    <col min="12" max="12" width="11.7109375" style="28" customWidth="1"/>
    <col min="13" max="13" width="12.28515625" style="28" customWidth="1"/>
    <col min="14" max="14" width="13.42578125" style="28" customWidth="1"/>
    <col min="15" max="16" width="14.7109375" style="28" customWidth="1"/>
    <col min="17" max="20" width="15.28515625" style="28" customWidth="1"/>
    <col min="21" max="22" width="15" style="28" customWidth="1"/>
    <col min="23" max="23" width="14.7109375" style="14" customWidth="1"/>
    <col min="24" max="24" width="15.7109375" style="14" customWidth="1"/>
    <col min="25" max="25" width="19.42578125" style="14" customWidth="1"/>
    <col min="26" max="26" width="15.28515625" style="14" customWidth="1"/>
    <col min="27" max="27" width="17.7109375" style="14" customWidth="1"/>
    <col min="28" max="28" width="15.5703125" style="14" customWidth="1"/>
    <col min="29" max="35" width="15.28515625" style="14" customWidth="1"/>
    <col min="36" max="36" width="16.28515625" style="14" customWidth="1"/>
    <col min="37" max="37" width="10.7109375" style="14" customWidth="1"/>
    <col min="38" max="39" width="15.28515625" style="14" customWidth="1"/>
    <col min="40" max="40" width="16.28515625" style="14" customWidth="1"/>
    <col min="41" max="41" width="15.28515625" style="14" customWidth="1"/>
    <col min="42" max="42" width="16.28515625" style="14" customWidth="1"/>
    <col min="43" max="43" width="15.28515625" style="14" customWidth="1"/>
    <col min="44" max="45" width="16" style="14" customWidth="1"/>
    <col min="46" max="48" width="15.28515625" style="14" customWidth="1"/>
    <col min="49" max="49" width="16.42578125" style="14" customWidth="1"/>
    <col min="50" max="50" width="15.28515625" style="14" customWidth="1"/>
    <col min="51" max="51" width="16.7109375" style="14" customWidth="1"/>
    <col min="52" max="53" width="15.7109375" style="14" customWidth="1"/>
    <col min="54" max="54" width="15.28515625" style="14" customWidth="1"/>
    <col min="55" max="55" width="15.5703125" style="14" customWidth="1"/>
    <col min="56" max="58" width="15.28515625" style="14" customWidth="1"/>
    <col min="59" max="60" width="14.7109375" style="14" bestFit="1" customWidth="1"/>
    <col min="61" max="61" width="16" style="14" customWidth="1"/>
    <col min="62" max="16384" width="9.28515625" style="14"/>
  </cols>
  <sheetData>
    <row r="1" spans="1:61">
      <c r="A1" s="27"/>
      <c r="B1" s="61" t="s">
        <v>87</v>
      </c>
      <c r="C1" s="26">
        <v>41364</v>
      </c>
      <c r="D1" s="26">
        <v>41455</v>
      </c>
      <c r="E1" s="26">
        <v>41547</v>
      </c>
      <c r="F1" s="26">
        <v>41639</v>
      </c>
      <c r="G1" s="26">
        <v>41729</v>
      </c>
      <c r="H1" s="26">
        <v>41820</v>
      </c>
      <c r="I1" s="26">
        <v>41912</v>
      </c>
      <c r="J1" s="26">
        <v>42004</v>
      </c>
      <c r="K1" s="26">
        <v>42094</v>
      </c>
      <c r="L1" s="26">
        <v>42185</v>
      </c>
      <c r="M1" s="26">
        <v>42277</v>
      </c>
      <c r="N1" s="26">
        <v>42369</v>
      </c>
      <c r="O1" s="26">
        <v>42460</v>
      </c>
      <c r="P1" s="26">
        <v>42551</v>
      </c>
      <c r="Q1" s="26">
        <v>42643</v>
      </c>
      <c r="R1" s="26">
        <v>42735</v>
      </c>
      <c r="S1" s="26">
        <v>42825</v>
      </c>
      <c r="T1" s="26">
        <v>42916</v>
      </c>
      <c r="U1" s="26">
        <v>43008</v>
      </c>
      <c r="V1" s="26">
        <v>43100</v>
      </c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3"/>
      <c r="AN1" s="62"/>
      <c r="AO1" s="63"/>
      <c r="AP1" s="63"/>
      <c r="AQ1" s="62"/>
      <c r="AR1" s="62"/>
      <c r="AS1" s="62"/>
      <c r="AT1" s="63"/>
      <c r="AU1" s="63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</row>
    <row r="2" spans="1:61">
      <c r="A2" s="27"/>
      <c r="B2" s="32" t="s">
        <v>8</v>
      </c>
      <c r="C2" s="33">
        <v>6912</v>
      </c>
      <c r="D2" s="33">
        <v>13681</v>
      </c>
      <c r="E2" s="33">
        <v>20505</v>
      </c>
      <c r="F2" s="33">
        <v>27252</v>
      </c>
      <c r="G2" s="33">
        <v>6710</v>
      </c>
      <c r="H2" s="33">
        <v>13305</v>
      </c>
      <c r="I2" s="33">
        <v>19946</v>
      </c>
      <c r="J2" s="33">
        <v>26673</v>
      </c>
      <c r="K2" s="33">
        <v>6429</v>
      </c>
      <c r="L2" s="33">
        <v>12933</v>
      </c>
      <c r="M2" s="33">
        <v>19429</v>
      </c>
      <c r="N2" s="33">
        <v>25864</v>
      </c>
      <c r="O2" s="33">
        <v>6379</v>
      </c>
      <c r="P2" s="33">
        <v>12774</v>
      </c>
      <c r="Q2" s="33">
        <v>19186</v>
      </c>
      <c r="R2" s="33">
        <v>25512</v>
      </c>
      <c r="S2" s="33">
        <v>6169</v>
      </c>
      <c r="T2" s="33">
        <v>12345</v>
      </c>
      <c r="U2" s="33">
        <v>18607</v>
      </c>
      <c r="V2" s="33">
        <v>25350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64"/>
      <c r="BF2" s="21"/>
      <c r="BG2" s="21"/>
      <c r="BH2" s="21"/>
      <c r="BI2" s="21"/>
    </row>
    <row r="3" spans="1:61">
      <c r="A3" s="27"/>
      <c r="B3" s="32" t="s">
        <v>24</v>
      </c>
      <c r="C3" s="33">
        <v>2933</v>
      </c>
      <c r="D3" s="33">
        <v>5725</v>
      </c>
      <c r="E3" s="33">
        <v>8458</v>
      </c>
      <c r="F3" s="33">
        <v>11294</v>
      </c>
      <c r="G3" s="33">
        <v>2787</v>
      </c>
      <c r="H3" s="33">
        <v>5555</v>
      </c>
      <c r="I3" s="33">
        <v>8252</v>
      </c>
      <c r="J3" s="33">
        <v>11306</v>
      </c>
      <c r="K3" s="33">
        <v>2521</v>
      </c>
      <c r="L3" s="33">
        <v>5115</v>
      </c>
      <c r="M3" s="33">
        <v>7529</v>
      </c>
      <c r="N3" s="33">
        <v>10254</v>
      </c>
      <c r="O3" s="33">
        <v>2282</v>
      </c>
      <c r="P3" s="33">
        <v>4646</v>
      </c>
      <c r="Q3" s="33">
        <v>6898</v>
      </c>
      <c r="R3" s="33">
        <v>9308</v>
      </c>
      <c r="S3" s="33">
        <v>2293</v>
      </c>
      <c r="T3" s="33">
        <v>4473</v>
      </c>
      <c r="U3" s="33">
        <v>6642</v>
      </c>
      <c r="V3" s="33">
        <v>8803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</row>
    <row r="4" spans="1:61">
      <c r="A4" s="27"/>
      <c r="B4" s="32" t="s">
        <v>25</v>
      </c>
      <c r="C4" s="33">
        <v>0</v>
      </c>
      <c r="D4" s="33">
        <v>45</v>
      </c>
      <c r="E4" s="33">
        <v>50</v>
      </c>
      <c r="F4" s="33">
        <v>52</v>
      </c>
      <c r="G4" s="33">
        <v>10</v>
      </c>
      <c r="H4" s="33">
        <v>46</v>
      </c>
      <c r="I4" s="33">
        <v>50</v>
      </c>
      <c r="J4" s="33">
        <v>50</v>
      </c>
      <c r="K4" s="33">
        <v>1</v>
      </c>
      <c r="L4" s="33">
        <v>57</v>
      </c>
      <c r="M4" s="33">
        <v>67</v>
      </c>
      <c r="N4" s="33">
        <v>70</v>
      </c>
      <c r="O4" s="33">
        <v>3</v>
      </c>
      <c r="P4" s="33">
        <v>54</v>
      </c>
      <c r="Q4" s="33">
        <v>60</v>
      </c>
      <c r="R4" s="33">
        <v>86</v>
      </c>
      <c r="S4" s="33">
        <v>5</v>
      </c>
      <c r="T4" s="33">
        <v>46</v>
      </c>
      <c r="U4" s="33">
        <v>54</v>
      </c>
      <c r="V4" s="33">
        <v>64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</row>
    <row r="5" spans="1:61">
      <c r="A5" s="27"/>
      <c r="B5" s="32" t="s">
        <v>91</v>
      </c>
      <c r="C5" s="33">
        <v>457</v>
      </c>
      <c r="D5" s="33">
        <v>1418.9361005595038</v>
      </c>
      <c r="E5" s="33">
        <v>2059.9055778520978</v>
      </c>
      <c r="F5" s="33">
        <v>2724.8540199999998</v>
      </c>
      <c r="G5" s="33">
        <v>586.83225800000002</v>
      </c>
      <c r="H5" s="33">
        <v>1204.6263529999999</v>
      </c>
      <c r="I5" s="33">
        <v>1768.6058149999999</v>
      </c>
      <c r="J5" s="33">
        <v>2357.8614809999999</v>
      </c>
      <c r="K5" s="33">
        <v>1241.8358289999999</v>
      </c>
      <c r="L5" s="33">
        <v>1517.419686</v>
      </c>
      <c r="M5" s="33">
        <v>2323.4524219999998</v>
      </c>
      <c r="N5" s="33">
        <v>2968.7902050000002</v>
      </c>
      <c r="O5" s="33">
        <v>637.61365499999999</v>
      </c>
      <c r="P5" s="33">
        <v>1289.9025189999998</v>
      </c>
      <c r="Q5" s="33">
        <v>1995.1338470000001</v>
      </c>
      <c r="R5" s="33">
        <v>2896.8493409999996</v>
      </c>
      <c r="S5" s="33">
        <v>802.43889899999999</v>
      </c>
      <c r="T5" s="33">
        <v>1420</v>
      </c>
      <c r="U5" s="33">
        <v>2178</v>
      </c>
      <c r="V5" s="33">
        <v>2736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</row>
    <row r="6" spans="1:61">
      <c r="A6" s="27"/>
      <c r="B6" s="32" t="s">
        <v>92</v>
      </c>
      <c r="C6" s="33"/>
      <c r="D6" s="33"/>
      <c r="E6" s="33">
        <v>-409.40803500000004</v>
      </c>
      <c r="F6" s="33">
        <v>-542.202766</v>
      </c>
      <c r="G6" s="33">
        <v>2.1829999999999998</v>
      </c>
      <c r="H6" s="33">
        <v>-9.6820000000000004</v>
      </c>
      <c r="I6" s="33">
        <v>-47.001070000000006</v>
      </c>
      <c r="J6" s="33">
        <v>-70.513275999999991</v>
      </c>
      <c r="K6" s="33">
        <v>-51.689398000000011</v>
      </c>
      <c r="L6" s="33">
        <v>-82.428803000000016</v>
      </c>
      <c r="M6" s="33">
        <v>-85.141648000000018</v>
      </c>
      <c r="N6" s="33">
        <v>-145.53040299999998</v>
      </c>
      <c r="O6" s="33">
        <v>-4.5846379999999991</v>
      </c>
      <c r="P6" s="33">
        <v>-52.566922999999996</v>
      </c>
      <c r="Q6" s="33">
        <v>-66.141902000000002</v>
      </c>
      <c r="R6" s="33">
        <v>-43.986927999999999</v>
      </c>
      <c r="S6" s="33">
        <v>-10.703398999999999</v>
      </c>
      <c r="T6" s="33">
        <v>-18</v>
      </c>
      <c r="U6" s="33">
        <v>7</v>
      </c>
      <c r="V6" s="33">
        <v>-7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</row>
    <row r="7" spans="1:61">
      <c r="A7" s="27"/>
      <c r="B7" s="32" t="s">
        <v>94</v>
      </c>
      <c r="C7" s="33"/>
      <c r="D7" s="33"/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3</v>
      </c>
      <c r="Q7" s="33">
        <v>-1</v>
      </c>
      <c r="R7" s="33">
        <v>-10</v>
      </c>
      <c r="S7" s="33">
        <v>-10</v>
      </c>
      <c r="T7" s="33">
        <v>-12</v>
      </c>
      <c r="U7" s="33">
        <v>-13</v>
      </c>
      <c r="V7" s="33">
        <v>9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</row>
    <row r="8" spans="1:61">
      <c r="A8" s="27"/>
      <c r="B8" s="34" t="s">
        <v>26</v>
      </c>
      <c r="C8" s="33">
        <v>221</v>
      </c>
      <c r="D8" s="33">
        <v>430</v>
      </c>
      <c r="E8" s="33">
        <v>628</v>
      </c>
      <c r="F8" s="33">
        <v>828</v>
      </c>
      <c r="G8" s="33">
        <v>220</v>
      </c>
      <c r="H8" s="33">
        <v>412</v>
      </c>
      <c r="I8" s="33">
        <v>620</v>
      </c>
      <c r="J8" s="33">
        <v>823</v>
      </c>
      <c r="K8" s="33">
        <v>191</v>
      </c>
      <c r="L8" s="33">
        <v>401</v>
      </c>
      <c r="M8" s="33">
        <v>581</v>
      </c>
      <c r="N8" s="33">
        <v>732</v>
      </c>
      <c r="O8" s="33">
        <v>131</v>
      </c>
      <c r="P8" s="33">
        <v>258</v>
      </c>
      <c r="Q8" s="33">
        <v>381</v>
      </c>
      <c r="R8" s="33">
        <v>478</v>
      </c>
      <c r="S8" s="33">
        <v>82</v>
      </c>
      <c r="T8" s="33">
        <v>159</v>
      </c>
      <c r="U8" s="33">
        <v>216</v>
      </c>
      <c r="V8" s="33">
        <v>272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</row>
    <row r="9" spans="1:61">
      <c r="A9" s="27"/>
      <c r="B9" s="35" t="s">
        <v>9</v>
      </c>
      <c r="C9" s="36">
        <v>-4739</v>
      </c>
      <c r="D9" s="36">
        <v>-9461</v>
      </c>
      <c r="E9" s="36">
        <v>-14188</v>
      </c>
      <c r="F9" s="36">
        <v>-18743</v>
      </c>
      <c r="G9" s="36">
        <v>-4519</v>
      </c>
      <c r="H9" s="36">
        <v>-9045</v>
      </c>
      <c r="I9" s="36">
        <v>-13598</v>
      </c>
      <c r="J9" s="36">
        <v>-18234</v>
      </c>
      <c r="K9" s="36">
        <v>-4421</v>
      </c>
      <c r="L9" s="36">
        <v>-9083</v>
      </c>
      <c r="M9" s="36">
        <v>-13635</v>
      </c>
      <c r="N9" s="36">
        <v>-18586</v>
      </c>
      <c r="O9" s="36">
        <v>-4369</v>
      </c>
      <c r="P9" s="36">
        <v>-8782</v>
      </c>
      <c r="Q9" s="36">
        <v>-13232</v>
      </c>
      <c r="R9" s="36">
        <v>-18146</v>
      </c>
      <c r="S9" s="36">
        <v>-4613</v>
      </c>
      <c r="T9" s="36">
        <v>-9021</v>
      </c>
      <c r="U9" s="36">
        <v>-13436</v>
      </c>
      <c r="V9" s="36">
        <v>-18240</v>
      </c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</row>
    <row r="10" spans="1:61" ht="25.5">
      <c r="A10" s="27"/>
      <c r="B10" s="37" t="s">
        <v>27</v>
      </c>
      <c r="C10" s="38">
        <v>167</v>
      </c>
      <c r="D10" s="38">
        <v>151</v>
      </c>
      <c r="E10" s="38">
        <v>85</v>
      </c>
      <c r="F10" s="38">
        <v>213</v>
      </c>
      <c r="G10" s="38">
        <v>116</v>
      </c>
      <c r="H10" s="38">
        <v>136</v>
      </c>
      <c r="I10" s="38">
        <v>138</v>
      </c>
      <c r="J10" s="38">
        <v>146</v>
      </c>
      <c r="K10" s="38">
        <v>9</v>
      </c>
      <c r="L10" s="38">
        <v>143</v>
      </c>
      <c r="M10" s="38">
        <v>322</v>
      </c>
      <c r="N10" s="38">
        <v>449</v>
      </c>
      <c r="O10" s="38">
        <v>2</v>
      </c>
      <c r="P10" s="38">
        <v>1423</v>
      </c>
      <c r="Q10" s="38">
        <v>1423</v>
      </c>
      <c r="R10" s="38">
        <v>1421</v>
      </c>
      <c r="S10" s="38">
        <v>230</v>
      </c>
      <c r="T10" s="38">
        <v>269</v>
      </c>
      <c r="U10" s="38">
        <v>269</v>
      </c>
      <c r="V10" s="38">
        <v>271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</row>
    <row r="11" spans="1:61" ht="25.5">
      <c r="A11" s="27"/>
      <c r="B11" s="39" t="s">
        <v>28</v>
      </c>
      <c r="C11" s="38">
        <v>-940</v>
      </c>
      <c r="D11" s="38">
        <v>-2005</v>
      </c>
      <c r="E11" s="38">
        <v>-2906</v>
      </c>
      <c r="F11" s="38">
        <v>-3638</v>
      </c>
      <c r="G11" s="38">
        <v>-976</v>
      </c>
      <c r="H11" s="38">
        <v>-1917</v>
      </c>
      <c r="I11" s="38">
        <v>-2900</v>
      </c>
      <c r="J11" s="38">
        <v>-3728</v>
      </c>
      <c r="K11" s="38">
        <v>-865</v>
      </c>
      <c r="L11" s="38">
        <v>-1390</v>
      </c>
      <c r="M11" s="38">
        <v>-1883</v>
      </c>
      <c r="N11" s="38">
        <v>-2648</v>
      </c>
      <c r="O11" s="38">
        <v>-460</v>
      </c>
      <c r="P11" s="38">
        <v>-695</v>
      </c>
      <c r="Q11" s="38">
        <v>-1063</v>
      </c>
      <c r="R11" s="38">
        <v>-1905</v>
      </c>
      <c r="S11" s="38">
        <v>-184</v>
      </c>
      <c r="T11" s="38">
        <v>265</v>
      </c>
      <c r="U11" s="38">
        <v>470</v>
      </c>
      <c r="V11" s="38">
        <v>-33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</row>
    <row r="12" spans="1:61">
      <c r="A12" s="27"/>
      <c r="B12" s="40" t="s">
        <v>29</v>
      </c>
      <c r="C12" s="38">
        <v>231</v>
      </c>
      <c r="D12" s="38">
        <v>514</v>
      </c>
      <c r="E12" s="38">
        <v>25</v>
      </c>
      <c r="F12" s="38">
        <v>40</v>
      </c>
      <c r="G12" s="38">
        <v>64</v>
      </c>
      <c r="H12" s="38">
        <v>10</v>
      </c>
      <c r="I12" s="38">
        <v>-285</v>
      </c>
      <c r="J12" s="38">
        <v>-603</v>
      </c>
      <c r="K12" s="38">
        <v>-534</v>
      </c>
      <c r="L12" s="38">
        <v>-577</v>
      </c>
      <c r="M12" s="38">
        <v>-880</v>
      </c>
      <c r="N12" s="38">
        <v>-1018</v>
      </c>
      <c r="O12" s="38">
        <v>-395</v>
      </c>
      <c r="P12" s="38">
        <v>-543</v>
      </c>
      <c r="Q12" s="38">
        <v>-599</v>
      </c>
      <c r="R12" s="38">
        <v>-672</v>
      </c>
      <c r="S12" s="38">
        <v>-369</v>
      </c>
      <c r="T12" s="38">
        <v>-368</v>
      </c>
      <c r="U12" s="38">
        <v>-456</v>
      </c>
      <c r="V12" s="38">
        <v>-1198</v>
      </c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</row>
    <row r="13" spans="1:61">
      <c r="A13" s="27"/>
      <c r="B13" s="40" t="s">
        <v>30</v>
      </c>
      <c r="C13" s="38">
        <v>5242</v>
      </c>
      <c r="D13" s="38">
        <v>10170</v>
      </c>
      <c r="E13" s="38">
        <v>14307</v>
      </c>
      <c r="F13" s="38">
        <v>19481</v>
      </c>
      <c r="G13" s="38">
        <v>5001</v>
      </c>
      <c r="H13" s="38">
        <v>9697</v>
      </c>
      <c r="I13" s="38">
        <v>13945</v>
      </c>
      <c r="J13" s="38">
        <v>18720</v>
      </c>
      <c r="K13" s="38">
        <v>4521</v>
      </c>
      <c r="L13" s="38">
        <v>9033</v>
      </c>
      <c r="M13" s="38">
        <v>13769</v>
      </c>
      <c r="N13" s="38">
        <v>17940</v>
      </c>
      <c r="O13" s="38">
        <v>4206</v>
      </c>
      <c r="P13" s="38">
        <v>10375</v>
      </c>
      <c r="Q13" s="38">
        <v>14982</v>
      </c>
      <c r="R13" s="38">
        <v>18925</v>
      </c>
      <c r="S13" s="38">
        <v>4395</v>
      </c>
      <c r="T13" s="38">
        <v>9558</v>
      </c>
      <c r="U13" s="38">
        <v>14538</v>
      </c>
      <c r="V13" s="38">
        <v>18027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</row>
    <row r="14" spans="1:61">
      <c r="A14" s="27"/>
      <c r="B14" s="40" t="s">
        <v>22</v>
      </c>
      <c r="C14" s="38">
        <v>-1038</v>
      </c>
      <c r="D14" s="38">
        <v>-2026</v>
      </c>
      <c r="E14" s="38">
        <v>-2845</v>
      </c>
      <c r="F14" s="38">
        <v>-3904</v>
      </c>
      <c r="G14" s="38">
        <v>-993</v>
      </c>
      <c r="H14" s="38">
        <v>-1898</v>
      </c>
      <c r="I14" s="38">
        <v>-2699</v>
      </c>
      <c r="J14" s="38">
        <v>-3650</v>
      </c>
      <c r="K14" s="38">
        <v>-855</v>
      </c>
      <c r="L14" s="38">
        <v>-1713</v>
      </c>
      <c r="M14" s="38">
        <v>-2634</v>
      </c>
      <c r="N14" s="38">
        <v>-3645</v>
      </c>
      <c r="O14" s="38">
        <v>-831</v>
      </c>
      <c r="P14" s="38">
        <v>-2136</v>
      </c>
      <c r="Q14" s="38">
        <v>-3057</v>
      </c>
      <c r="R14" s="38">
        <v>-3470</v>
      </c>
      <c r="S14" s="38">
        <v>-869</v>
      </c>
      <c r="T14" s="38">
        <v>-1891</v>
      </c>
      <c r="U14" s="38">
        <v>-2844</v>
      </c>
      <c r="V14" s="38">
        <v>-3415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</row>
    <row r="15" spans="1:61" s="58" customFormat="1">
      <c r="A15" s="29"/>
      <c r="B15" s="40" t="s">
        <v>31</v>
      </c>
      <c r="C15" s="38">
        <v>4204</v>
      </c>
      <c r="D15" s="38">
        <v>8144</v>
      </c>
      <c r="E15" s="38">
        <v>11462</v>
      </c>
      <c r="F15" s="38">
        <v>15577</v>
      </c>
      <c r="G15" s="38">
        <v>4008</v>
      </c>
      <c r="H15" s="38">
        <v>7799</v>
      </c>
      <c r="I15" s="38">
        <v>11246</v>
      </c>
      <c r="J15" s="38">
        <v>15070</v>
      </c>
      <c r="K15" s="38">
        <v>3666</v>
      </c>
      <c r="L15" s="38">
        <v>7320</v>
      </c>
      <c r="M15" s="38">
        <v>11135</v>
      </c>
      <c r="N15" s="38">
        <v>14295</v>
      </c>
      <c r="O15" s="38">
        <v>3375</v>
      </c>
      <c r="P15" s="38">
        <v>8239</v>
      </c>
      <c r="Q15" s="38">
        <v>11925</v>
      </c>
      <c r="R15" s="38">
        <v>15455</v>
      </c>
      <c r="S15" s="38">
        <v>3526</v>
      </c>
      <c r="T15" s="38">
        <v>7667</v>
      </c>
      <c r="U15" s="38">
        <v>11694</v>
      </c>
      <c r="V15" s="38">
        <v>14612</v>
      </c>
      <c r="W15" s="21"/>
      <c r="X15" s="22"/>
      <c r="Y15" s="21"/>
      <c r="Z15" s="22"/>
      <c r="AA15" s="22"/>
      <c r="AB15" s="22"/>
      <c r="AC15" s="22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</row>
    <row r="16" spans="1:61">
      <c r="B16" s="40" t="s">
        <v>32</v>
      </c>
      <c r="C16" s="38">
        <v>4204</v>
      </c>
      <c r="D16" s="38">
        <v>8144</v>
      </c>
      <c r="E16" s="38">
        <v>11462</v>
      </c>
      <c r="F16" s="38">
        <v>15577</v>
      </c>
      <c r="G16" s="38">
        <v>4008</v>
      </c>
      <c r="H16" s="38">
        <v>7799</v>
      </c>
      <c r="I16" s="38">
        <v>11246</v>
      </c>
      <c r="J16" s="38">
        <v>15070</v>
      </c>
      <c r="K16" s="38">
        <v>3666</v>
      </c>
      <c r="L16" s="38">
        <v>7320</v>
      </c>
      <c r="M16" s="38">
        <v>11135</v>
      </c>
      <c r="N16" s="38">
        <v>14295</v>
      </c>
      <c r="O16" s="38">
        <v>3375</v>
      </c>
      <c r="P16" s="38">
        <v>8239</v>
      </c>
      <c r="Q16" s="38">
        <v>11925</v>
      </c>
      <c r="R16" s="38">
        <v>15455</v>
      </c>
      <c r="S16" s="38">
        <v>3526</v>
      </c>
      <c r="T16" s="38">
        <v>7667</v>
      </c>
      <c r="U16" s="38">
        <v>11694</v>
      </c>
      <c r="V16" s="38">
        <v>14612</v>
      </c>
      <c r="AY16" s="28"/>
    </row>
    <row r="17" spans="1:61">
      <c r="A17" s="27"/>
      <c r="B17" s="41" t="s">
        <v>33</v>
      </c>
      <c r="C17" s="38">
        <v>0</v>
      </c>
      <c r="D17" s="38">
        <v>-9</v>
      </c>
      <c r="E17" s="38">
        <v>-13</v>
      </c>
      <c r="F17" s="38">
        <v>-11</v>
      </c>
      <c r="G17" s="38">
        <v>-8</v>
      </c>
      <c r="H17" s="38">
        <v>17</v>
      </c>
      <c r="I17" s="38">
        <v>21</v>
      </c>
      <c r="J17" s="38">
        <v>-1</v>
      </c>
      <c r="K17" s="38">
        <v>0</v>
      </c>
      <c r="L17" s="38">
        <v>-1</v>
      </c>
      <c r="M17" s="38">
        <v>0</v>
      </c>
      <c r="N17" s="38">
        <v>2</v>
      </c>
      <c r="O17" s="38">
        <v>0</v>
      </c>
      <c r="P17" s="38">
        <v>1</v>
      </c>
      <c r="Q17" s="38">
        <v>1</v>
      </c>
      <c r="R17" s="38">
        <v>-2</v>
      </c>
      <c r="S17" s="38">
        <v>-2</v>
      </c>
      <c r="T17" s="38">
        <v>-6</v>
      </c>
      <c r="U17" s="38">
        <v>-10</v>
      </c>
      <c r="V17" s="38">
        <v>2</v>
      </c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</row>
    <row r="18" spans="1:61">
      <c r="A18" s="27"/>
      <c r="B18" s="42" t="s">
        <v>34</v>
      </c>
      <c r="C18" s="43">
        <v>4204</v>
      </c>
      <c r="D18" s="43">
        <v>8153</v>
      </c>
      <c r="E18" s="43">
        <v>11475</v>
      </c>
      <c r="F18" s="43">
        <v>15588</v>
      </c>
      <c r="G18" s="43">
        <v>4000</v>
      </c>
      <c r="H18" s="43">
        <v>7782</v>
      </c>
      <c r="I18" s="43">
        <v>11225</v>
      </c>
      <c r="J18" s="43">
        <v>15071</v>
      </c>
      <c r="K18" s="43">
        <v>3666</v>
      </c>
      <c r="L18" s="43">
        <v>7321</v>
      </c>
      <c r="M18" s="43">
        <v>11135</v>
      </c>
      <c r="N18" s="43">
        <v>14293</v>
      </c>
      <c r="O18" s="43">
        <v>3375</v>
      </c>
      <c r="P18" s="43">
        <v>8238</v>
      </c>
      <c r="Q18" s="43">
        <v>11924</v>
      </c>
      <c r="R18" s="43">
        <v>15457</v>
      </c>
      <c r="S18" s="43">
        <v>3528</v>
      </c>
      <c r="T18" s="43">
        <v>7673</v>
      </c>
      <c r="U18" s="43">
        <v>11704</v>
      </c>
      <c r="V18" s="43">
        <v>14610</v>
      </c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</row>
    <row r="19" spans="1:61">
      <c r="B19" s="40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AY19" s="28"/>
    </row>
    <row r="20" spans="1:61">
      <c r="B20" s="32" t="s">
        <v>35</v>
      </c>
      <c r="C20" s="33">
        <v>10523</v>
      </c>
      <c r="D20" s="33">
        <v>20971</v>
      </c>
      <c r="E20" s="33">
        <v>31291</v>
      </c>
      <c r="F20" s="33">
        <v>41609</v>
      </c>
      <c r="G20" s="33">
        <v>10316</v>
      </c>
      <c r="H20" s="33">
        <v>20513</v>
      </c>
      <c r="I20" s="33">
        <v>30590</v>
      </c>
      <c r="J20" s="33">
        <v>41139</v>
      </c>
      <c r="K20" s="33">
        <v>10332</v>
      </c>
      <c r="L20" s="33">
        <v>19941</v>
      </c>
      <c r="M20" s="33">
        <v>29845</v>
      </c>
      <c r="N20" s="33">
        <v>39743</v>
      </c>
      <c r="O20" s="33">
        <v>9428</v>
      </c>
      <c r="P20" s="33">
        <v>18972</v>
      </c>
      <c r="Q20" s="33">
        <v>28453</v>
      </c>
      <c r="R20" s="33">
        <v>38227</v>
      </c>
      <c r="S20" s="33">
        <v>9331</v>
      </c>
      <c r="T20" s="33">
        <v>18413</v>
      </c>
      <c r="U20" s="33">
        <v>27691</v>
      </c>
      <c r="V20" s="33">
        <v>37227</v>
      </c>
      <c r="W20" s="28"/>
      <c r="AY20" s="28"/>
    </row>
    <row r="21" spans="1:61">
      <c r="B21" s="35" t="s">
        <v>36</v>
      </c>
      <c r="C21" s="36">
        <v>-4739</v>
      </c>
      <c r="D21" s="36">
        <v>-9461</v>
      </c>
      <c r="E21" s="36">
        <v>-14188</v>
      </c>
      <c r="F21" s="36">
        <v>-18743</v>
      </c>
      <c r="G21" s="36">
        <v>-4519</v>
      </c>
      <c r="H21" s="36">
        <v>-9045</v>
      </c>
      <c r="I21" s="36">
        <v>-13598</v>
      </c>
      <c r="J21" s="36">
        <v>-18234</v>
      </c>
      <c r="K21" s="36">
        <v>-4421</v>
      </c>
      <c r="L21" s="36">
        <v>-9084</v>
      </c>
      <c r="M21" s="36">
        <v>-13635</v>
      </c>
      <c r="N21" s="36">
        <v>-18586</v>
      </c>
      <c r="O21" s="36">
        <v>-4369</v>
      </c>
      <c r="P21" s="36">
        <v>-8782</v>
      </c>
      <c r="Q21" s="36">
        <v>-13232</v>
      </c>
      <c r="R21" s="36">
        <v>-18146</v>
      </c>
      <c r="S21" s="36">
        <v>-4613</v>
      </c>
      <c r="T21" s="36">
        <v>-9021</v>
      </c>
      <c r="U21" s="36">
        <v>-13436</v>
      </c>
      <c r="V21" s="36">
        <v>-18240</v>
      </c>
      <c r="W21" s="28"/>
      <c r="AY21" s="28"/>
    </row>
    <row r="22" spans="1:61">
      <c r="B22" s="44" t="s">
        <v>37</v>
      </c>
      <c r="C22" s="45">
        <v>5784</v>
      </c>
      <c r="D22" s="45">
        <v>11510</v>
      </c>
      <c r="E22" s="45">
        <v>17103</v>
      </c>
      <c r="F22" s="45">
        <v>22866</v>
      </c>
      <c r="G22" s="45">
        <v>5797</v>
      </c>
      <c r="H22" s="45">
        <v>11468</v>
      </c>
      <c r="I22" s="45">
        <v>16992</v>
      </c>
      <c r="J22" s="45">
        <v>22905</v>
      </c>
      <c r="K22" s="45">
        <v>5911</v>
      </c>
      <c r="L22" s="45">
        <v>10857</v>
      </c>
      <c r="M22" s="45">
        <v>16210</v>
      </c>
      <c r="N22" s="45">
        <v>21157</v>
      </c>
      <c r="O22" s="45">
        <v>5059</v>
      </c>
      <c r="P22" s="45">
        <v>10190</v>
      </c>
      <c r="Q22" s="45">
        <v>15221</v>
      </c>
      <c r="R22" s="45">
        <v>20081</v>
      </c>
      <c r="S22" s="45">
        <v>4718</v>
      </c>
      <c r="T22" s="45">
        <v>9392</v>
      </c>
      <c r="U22" s="45">
        <v>14255</v>
      </c>
      <c r="V22" s="45">
        <v>18987</v>
      </c>
      <c r="W22" s="28"/>
      <c r="AY22" s="28"/>
    </row>
    <row r="23" spans="1:61">
      <c r="B23" s="40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8"/>
      <c r="AY23" s="28"/>
    </row>
    <row r="24" spans="1:61">
      <c r="B24" s="40" t="s">
        <v>38</v>
      </c>
      <c r="C24" s="47">
        <v>0.45039012114916238</v>
      </c>
      <c r="D24" s="47">
        <v>0.45113345307916403</v>
      </c>
      <c r="E24" s="47">
        <v>0.45342756100998055</v>
      </c>
      <c r="F24" s="47">
        <v>0.45046028943949834</v>
      </c>
      <c r="G24" s="47">
        <v>0.43806249309490553</v>
      </c>
      <c r="H24" s="47">
        <v>0.44103134369664493</v>
      </c>
      <c r="I24" s="47">
        <v>0.4445516814894675</v>
      </c>
      <c r="J24" s="47">
        <v>0.44323272094777921</v>
      </c>
      <c r="K24" s="47">
        <v>0.42790429067770608</v>
      </c>
      <c r="L24" s="47">
        <v>0.45500000000000002</v>
      </c>
      <c r="M24" s="47">
        <v>0.45683379342334351</v>
      </c>
      <c r="N24" s="47">
        <v>0.46800000000000003</v>
      </c>
      <c r="O24" s="47">
        <v>0.46337617804840292</v>
      </c>
      <c r="P24" s="47">
        <v>0.46286459838414817</v>
      </c>
      <c r="Q24" s="47">
        <v>0.46502971631380902</v>
      </c>
      <c r="R24" s="47">
        <v>0.47469424522099263</v>
      </c>
      <c r="S24" s="47">
        <v>0.49440596863215386</v>
      </c>
      <c r="T24" s="47">
        <v>0.48990448133717818</v>
      </c>
      <c r="U24" s="47">
        <v>0.48521892062964717</v>
      </c>
      <c r="V24" s="47">
        <v>0.48997391721798716</v>
      </c>
      <c r="W24" s="28"/>
      <c r="AY24" s="28"/>
    </row>
    <row r="25" spans="1:61">
      <c r="B25" s="40" t="s">
        <v>39</v>
      </c>
      <c r="C25" s="47">
        <v>0.17599999999999999</v>
      </c>
      <c r="D25" s="47">
        <v>0.17130000000000001</v>
      </c>
      <c r="E25" s="47">
        <v>0.16034318333286499</v>
      </c>
      <c r="F25" s="47">
        <v>0.16200000000000001</v>
      </c>
      <c r="G25" s="47">
        <v>0.155</v>
      </c>
      <c r="H25" s="47">
        <v>0.1502</v>
      </c>
      <c r="I25" s="47">
        <v>0.14499999999999999</v>
      </c>
      <c r="J25" s="47">
        <v>0.1449</v>
      </c>
      <c r="K25" s="47">
        <v>0.13300000000000001</v>
      </c>
      <c r="L25" s="47">
        <v>0.13300000000000001</v>
      </c>
      <c r="M25" s="47">
        <v>0.13700000000000001</v>
      </c>
      <c r="N25" s="47">
        <v>0.13</v>
      </c>
      <c r="O25" s="47">
        <v>0.111</v>
      </c>
      <c r="P25" s="47">
        <v>0.13500000000000001</v>
      </c>
      <c r="Q25" s="47">
        <v>0.13220000000000001</v>
      </c>
      <c r="R25" s="47">
        <v>0.1285</v>
      </c>
      <c r="S25" s="47">
        <v>0.115</v>
      </c>
      <c r="T25" s="47">
        <v>0.12479999999999999</v>
      </c>
      <c r="U25" s="47">
        <v>0.12839999999999999</v>
      </c>
      <c r="V25" s="47">
        <v>0.1206</v>
      </c>
      <c r="W25" s="28"/>
      <c r="AY25" s="28"/>
    </row>
    <row r="26" spans="1:61">
      <c r="B26" s="59"/>
      <c r="K26" s="28"/>
      <c r="W26" s="28"/>
      <c r="AY26" s="28"/>
    </row>
    <row r="27" spans="1:61">
      <c r="A27" s="28"/>
      <c r="B27" s="48"/>
      <c r="C27" s="24">
        <v>41364</v>
      </c>
      <c r="D27" s="24">
        <v>41455</v>
      </c>
      <c r="E27" s="24">
        <v>41547</v>
      </c>
      <c r="F27" s="24">
        <v>41639</v>
      </c>
      <c r="G27" s="24">
        <v>41729</v>
      </c>
      <c r="H27" s="24">
        <v>41820</v>
      </c>
      <c r="I27" s="24">
        <v>41912</v>
      </c>
      <c r="J27" s="24">
        <v>42004</v>
      </c>
      <c r="K27" s="24">
        <v>42094</v>
      </c>
      <c r="L27" s="24">
        <v>42185</v>
      </c>
      <c r="M27" s="24">
        <v>42277</v>
      </c>
      <c r="N27" s="24">
        <v>42369</v>
      </c>
      <c r="O27" s="24">
        <v>42460</v>
      </c>
      <c r="P27" s="24">
        <v>42551</v>
      </c>
      <c r="Q27" s="24">
        <v>42643</v>
      </c>
      <c r="R27" s="24">
        <v>42735</v>
      </c>
      <c r="S27" s="24">
        <v>42825</v>
      </c>
      <c r="T27" s="24">
        <v>42916</v>
      </c>
      <c r="U27" s="24">
        <v>43008</v>
      </c>
      <c r="V27" s="24">
        <v>43100</v>
      </c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3"/>
      <c r="AJ27" s="62"/>
      <c r="AK27" s="63"/>
      <c r="AL27" s="62"/>
      <c r="AM27" s="63"/>
      <c r="AN27" s="62"/>
      <c r="AO27" s="63"/>
      <c r="AP27" s="63"/>
      <c r="AQ27" s="63"/>
      <c r="AR27" s="62"/>
      <c r="AS27" s="62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</row>
    <row r="28" spans="1:61">
      <c r="A28" s="31"/>
      <c r="B28" s="66" t="s">
        <v>74</v>
      </c>
      <c r="C28" s="45">
        <v>8464</v>
      </c>
      <c r="D28" s="45">
        <v>16613</v>
      </c>
      <c r="E28" s="45">
        <v>24726</v>
      </c>
      <c r="F28" s="45">
        <v>32690</v>
      </c>
      <c r="G28" s="45">
        <v>7830</v>
      </c>
      <c r="H28" s="45">
        <v>15490</v>
      </c>
      <c r="I28" s="45">
        <v>23162</v>
      </c>
      <c r="J28" s="45">
        <v>30832</v>
      </c>
      <c r="K28" s="45">
        <v>7343</v>
      </c>
      <c r="L28" s="45">
        <v>14529</v>
      </c>
      <c r="M28" s="45">
        <v>21654</v>
      </c>
      <c r="N28" s="45">
        <v>28974</v>
      </c>
      <c r="O28" s="45">
        <v>7146</v>
      </c>
      <c r="P28" s="45">
        <v>14231</v>
      </c>
      <c r="Q28" s="45">
        <v>21372</v>
      </c>
      <c r="R28" s="45">
        <v>28442</v>
      </c>
      <c r="S28" s="45">
        <v>6873</v>
      </c>
      <c r="T28" s="45">
        <v>13731</v>
      </c>
      <c r="U28" s="45">
        <v>20693</v>
      </c>
      <c r="V28" s="45">
        <v>28148</v>
      </c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</row>
    <row r="29" spans="1:61">
      <c r="A29" s="28"/>
      <c r="B29" s="67" t="s">
        <v>79</v>
      </c>
      <c r="C29" s="67">
        <v>6701</v>
      </c>
      <c r="D29" s="67">
        <v>13237</v>
      </c>
      <c r="E29" s="67">
        <v>19821</v>
      </c>
      <c r="F29" s="67">
        <v>26308</v>
      </c>
      <c r="G29" s="67">
        <v>6371</v>
      </c>
      <c r="H29" s="67">
        <v>12563</v>
      </c>
      <c r="I29" s="67">
        <v>18739</v>
      </c>
      <c r="J29" s="67">
        <v>24889</v>
      </c>
      <c r="K29" s="67">
        <v>5862</v>
      </c>
      <c r="L29" s="67">
        <v>11596</v>
      </c>
      <c r="M29" s="67">
        <v>17301</v>
      </c>
      <c r="N29" s="67">
        <v>23030</v>
      </c>
      <c r="O29" s="67">
        <v>5517</v>
      </c>
      <c r="P29" s="67">
        <v>11013</v>
      </c>
      <c r="Q29" s="67">
        <v>16534</v>
      </c>
      <c r="R29" s="67">
        <v>21924</v>
      </c>
      <c r="S29" s="67">
        <v>5182</v>
      </c>
      <c r="T29" s="67">
        <v>10386</v>
      </c>
      <c r="U29" s="67">
        <v>15691</v>
      </c>
      <c r="V29" s="67">
        <v>21134</v>
      </c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</row>
    <row r="30" spans="1:61">
      <c r="A30" s="28"/>
      <c r="B30" s="67" t="s">
        <v>75</v>
      </c>
      <c r="C30" s="68">
        <v>1758</v>
      </c>
      <c r="D30" s="68">
        <v>3368</v>
      </c>
      <c r="E30" s="68">
        <v>4893</v>
      </c>
      <c r="F30" s="68">
        <v>6366</v>
      </c>
      <c r="G30" s="68">
        <v>1459</v>
      </c>
      <c r="H30" s="68">
        <v>2902</v>
      </c>
      <c r="I30" s="68">
        <v>4419</v>
      </c>
      <c r="J30" s="68">
        <v>5937</v>
      </c>
      <c r="K30" s="68">
        <v>1470</v>
      </c>
      <c r="L30" s="68">
        <v>2903</v>
      </c>
      <c r="M30" s="68">
        <v>4297</v>
      </c>
      <c r="N30" s="68">
        <v>5861</v>
      </c>
      <c r="O30" s="68">
        <v>1581</v>
      </c>
      <c r="P30" s="68">
        <v>3129</v>
      </c>
      <c r="Q30" s="68">
        <v>4704</v>
      </c>
      <c r="R30" s="68">
        <v>6299</v>
      </c>
      <c r="S30" s="68">
        <v>1595</v>
      </c>
      <c r="T30" s="68">
        <v>3134</v>
      </c>
      <c r="U30" s="68">
        <v>4679</v>
      </c>
      <c r="V30" s="68">
        <v>6377</v>
      </c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</row>
    <row r="31" spans="1:61">
      <c r="A31" s="28"/>
      <c r="B31" s="67" t="s">
        <v>76</v>
      </c>
      <c r="C31" s="68">
        <v>5</v>
      </c>
      <c r="D31" s="68">
        <v>8</v>
      </c>
      <c r="E31" s="68">
        <v>12</v>
      </c>
      <c r="F31" s="68">
        <v>16</v>
      </c>
      <c r="G31" s="68">
        <v>0</v>
      </c>
      <c r="H31" s="68">
        <v>25</v>
      </c>
      <c r="I31" s="68">
        <v>5</v>
      </c>
      <c r="J31" s="68">
        <v>6</v>
      </c>
      <c r="K31" s="68">
        <v>11</v>
      </c>
      <c r="L31" s="68">
        <v>29</v>
      </c>
      <c r="M31" s="68">
        <v>55</v>
      </c>
      <c r="N31" s="68">
        <v>83</v>
      </c>
      <c r="O31" s="68">
        <v>47</v>
      </c>
      <c r="P31" s="68">
        <v>89</v>
      </c>
      <c r="Q31" s="68">
        <v>133</v>
      </c>
      <c r="R31" s="68">
        <v>219</v>
      </c>
      <c r="S31" s="68">
        <v>96</v>
      </c>
      <c r="T31" s="68">
        <v>211</v>
      </c>
      <c r="U31" s="68">
        <v>323</v>
      </c>
      <c r="V31" s="68">
        <v>636</v>
      </c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</row>
    <row r="32" spans="1:61">
      <c r="A32" s="28"/>
      <c r="B32" s="66" t="s">
        <v>77</v>
      </c>
      <c r="C32" s="45">
        <v>-1552</v>
      </c>
      <c r="D32" s="45">
        <v>-2931</v>
      </c>
      <c r="E32" s="45">
        <v>-4222</v>
      </c>
      <c r="F32" s="45">
        <v>-5438</v>
      </c>
      <c r="G32" s="45">
        <v>-1120</v>
      </c>
      <c r="H32" s="45">
        <v>-2185</v>
      </c>
      <c r="I32" s="45">
        <v>-3216</v>
      </c>
      <c r="J32" s="45">
        <v>-4160</v>
      </c>
      <c r="K32" s="45">
        <v>-914</v>
      </c>
      <c r="L32" s="45">
        <v>-1595</v>
      </c>
      <c r="M32" s="45">
        <v>-2225</v>
      </c>
      <c r="N32" s="45">
        <v>-3110</v>
      </c>
      <c r="O32" s="45">
        <v>-767</v>
      </c>
      <c r="P32" s="45">
        <v>-1458</v>
      </c>
      <c r="Q32" s="45">
        <v>-2186</v>
      </c>
      <c r="R32" s="45">
        <v>-2930</v>
      </c>
      <c r="S32" s="45">
        <v>-704</v>
      </c>
      <c r="T32" s="45">
        <v>-1386</v>
      </c>
      <c r="U32" s="45">
        <v>-2086</v>
      </c>
      <c r="V32" s="45">
        <v>-2798</v>
      </c>
      <c r="W32" s="21"/>
      <c r="X32" s="21"/>
      <c r="Y32" s="21"/>
      <c r="Z32" s="21"/>
      <c r="AA32" s="21"/>
      <c r="AB32" s="58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</row>
    <row r="33" spans="1:61">
      <c r="A33" s="28"/>
      <c r="B33" s="67" t="s">
        <v>80</v>
      </c>
      <c r="C33" s="67">
        <v>-1531</v>
      </c>
      <c r="D33" s="67">
        <v>-2892</v>
      </c>
      <c r="E33" s="67">
        <v>-4190</v>
      </c>
      <c r="F33" s="67">
        <v>-5713</v>
      </c>
      <c r="G33" s="67">
        <v>-1199</v>
      </c>
      <c r="H33" s="67">
        <v>-2344</v>
      </c>
      <c r="I33" s="67">
        <v>-3457</v>
      </c>
      <c r="J33" s="67">
        <v>-4481</v>
      </c>
      <c r="K33" s="67">
        <v>-990</v>
      </c>
      <c r="L33" s="67">
        <v>-1748</v>
      </c>
      <c r="M33" s="67">
        <v>-2459</v>
      </c>
      <c r="N33" s="67">
        <v>-3203</v>
      </c>
      <c r="O33" s="67">
        <v>-563</v>
      </c>
      <c r="P33" s="67">
        <v>-1044</v>
      </c>
      <c r="Q33" s="67">
        <v>-1556</v>
      </c>
      <c r="R33" s="67">
        <v>-2059</v>
      </c>
      <c r="S33" s="67">
        <v>-447</v>
      </c>
      <c r="T33" s="67">
        <v>-870</v>
      </c>
      <c r="U33" s="67">
        <v>-1304</v>
      </c>
      <c r="V33" s="67">
        <v>-1755</v>
      </c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</row>
    <row r="34" spans="1:61">
      <c r="A34" s="28"/>
      <c r="B34" s="67" t="s">
        <v>81</v>
      </c>
      <c r="C34" s="68">
        <v>-21</v>
      </c>
      <c r="D34" s="68">
        <v>-39</v>
      </c>
      <c r="E34" s="68">
        <v>-32</v>
      </c>
      <c r="F34" s="68">
        <v>274</v>
      </c>
      <c r="G34" s="68">
        <v>79</v>
      </c>
      <c r="H34" s="68">
        <v>159</v>
      </c>
      <c r="I34" s="68">
        <v>241</v>
      </c>
      <c r="J34" s="68">
        <v>322</v>
      </c>
      <c r="K34" s="68">
        <v>75</v>
      </c>
      <c r="L34" s="68">
        <v>152</v>
      </c>
      <c r="M34" s="68">
        <v>234</v>
      </c>
      <c r="N34" s="68">
        <v>93</v>
      </c>
      <c r="O34" s="68">
        <v>-203</v>
      </c>
      <c r="P34" s="68">
        <v>-413</v>
      </c>
      <c r="Q34" s="68">
        <v>-630</v>
      </c>
      <c r="R34" s="68">
        <v>-867</v>
      </c>
      <c r="S34" s="68">
        <v>-252</v>
      </c>
      <c r="T34" s="68">
        <v>-503</v>
      </c>
      <c r="U34" s="68">
        <v>-759</v>
      </c>
      <c r="V34" s="68">
        <v>-1009</v>
      </c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</row>
    <row r="35" spans="1:61">
      <c r="A35" s="28"/>
      <c r="B35" s="67" t="s">
        <v>78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-3</v>
      </c>
      <c r="S35" s="68">
        <v>-5</v>
      </c>
      <c r="T35" s="68">
        <v>-12</v>
      </c>
      <c r="U35" s="68">
        <v>-23</v>
      </c>
      <c r="V35" s="68">
        <v>-34</v>
      </c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</row>
    <row r="36" spans="1:61">
      <c r="A36" s="28"/>
      <c r="B36" s="48" t="s">
        <v>8</v>
      </c>
      <c r="C36" s="69">
        <v>6912</v>
      </c>
      <c r="D36" s="69">
        <v>13681</v>
      </c>
      <c r="E36" s="69">
        <v>20505</v>
      </c>
      <c r="F36" s="69">
        <v>27252</v>
      </c>
      <c r="G36" s="69">
        <v>6710</v>
      </c>
      <c r="H36" s="69">
        <v>13305</v>
      </c>
      <c r="I36" s="69">
        <v>19946</v>
      </c>
      <c r="J36" s="69">
        <v>26673</v>
      </c>
      <c r="K36" s="69">
        <v>6429</v>
      </c>
      <c r="L36" s="69">
        <v>12933</v>
      </c>
      <c r="M36" s="69">
        <v>19429</v>
      </c>
      <c r="N36" s="69">
        <v>25864</v>
      </c>
      <c r="O36" s="69">
        <v>6379</v>
      </c>
      <c r="P36" s="69">
        <v>12774</v>
      </c>
      <c r="Q36" s="69">
        <v>19186</v>
      </c>
      <c r="R36" s="69">
        <v>25512</v>
      </c>
      <c r="S36" s="69">
        <v>6169</v>
      </c>
      <c r="T36" s="69">
        <v>12345</v>
      </c>
      <c r="U36" s="69">
        <v>18607</v>
      </c>
      <c r="V36" s="69">
        <v>25350</v>
      </c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</row>
    <row r="37" spans="1:61">
      <c r="A37" s="29"/>
      <c r="B37" s="17"/>
      <c r="C37" s="62"/>
      <c r="D37" s="62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3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</row>
    <row r="38" spans="1:61">
      <c r="A38" s="31"/>
      <c r="B38" s="71"/>
      <c r="C38" s="24">
        <v>41364</v>
      </c>
      <c r="D38" s="24">
        <v>41455</v>
      </c>
      <c r="E38" s="24">
        <v>41547</v>
      </c>
      <c r="F38" s="24">
        <v>41639</v>
      </c>
      <c r="G38" s="24">
        <v>41729</v>
      </c>
      <c r="H38" s="24">
        <v>41820</v>
      </c>
      <c r="I38" s="24">
        <v>41912</v>
      </c>
      <c r="J38" s="24">
        <v>42004</v>
      </c>
      <c r="K38" s="24">
        <v>42094</v>
      </c>
      <c r="L38" s="24">
        <v>42185</v>
      </c>
      <c r="M38" s="24">
        <v>42277</v>
      </c>
      <c r="N38" s="24">
        <v>42369</v>
      </c>
      <c r="O38" s="24">
        <v>42460</v>
      </c>
      <c r="P38" s="24">
        <v>42551</v>
      </c>
      <c r="Q38" s="24">
        <v>42643</v>
      </c>
      <c r="R38" s="24">
        <v>42735</v>
      </c>
      <c r="S38" s="24">
        <v>42825</v>
      </c>
      <c r="T38" s="24">
        <v>42916</v>
      </c>
      <c r="U38" s="24">
        <v>43008</v>
      </c>
      <c r="V38" s="24">
        <v>43100</v>
      </c>
      <c r="W38" s="65"/>
      <c r="X38" s="65"/>
      <c r="Y38" s="65"/>
      <c r="Z38" s="65"/>
      <c r="AA38" s="65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</row>
    <row r="39" spans="1:61">
      <c r="A39" s="29"/>
      <c r="B39" s="72" t="s">
        <v>10</v>
      </c>
      <c r="C39" s="73">
        <v>-2372</v>
      </c>
      <c r="D39" s="73">
        <v>-4685</v>
      </c>
      <c r="E39" s="73">
        <v>-6857</v>
      </c>
      <c r="F39" s="73">
        <v>-9013</v>
      </c>
      <c r="G39" s="73">
        <v>-2130</v>
      </c>
      <c r="H39" s="73">
        <v>-4311</v>
      </c>
      <c r="I39" s="73">
        <v>-6483</v>
      </c>
      <c r="J39" s="73">
        <v>-8632</v>
      </c>
      <c r="K39" s="73">
        <v>-2151</v>
      </c>
      <c r="L39" s="73">
        <v>-4368</v>
      </c>
      <c r="M39" s="73">
        <v>-6502</v>
      </c>
      <c r="N39" s="73">
        <v>-8804</v>
      </c>
      <c r="O39" s="73">
        <v>-2188</v>
      </c>
      <c r="P39" s="73">
        <v>-4394.8348059999998</v>
      </c>
      <c r="Q39" s="73">
        <v>-6687</v>
      </c>
      <c r="R39" s="73">
        <v>-9169</v>
      </c>
      <c r="S39" s="73">
        <v>-2235</v>
      </c>
      <c r="T39" s="73">
        <v>-4517</v>
      </c>
      <c r="U39" s="73">
        <v>-6848</v>
      </c>
      <c r="V39" s="73">
        <v>-9224</v>
      </c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</row>
    <row r="40" spans="1:61">
      <c r="A40" s="29"/>
      <c r="B40" s="72" t="s">
        <v>11</v>
      </c>
      <c r="C40" s="73">
        <v>-1788</v>
      </c>
      <c r="D40" s="73">
        <v>-3622</v>
      </c>
      <c r="E40" s="73">
        <v>-5600</v>
      </c>
      <c r="F40" s="73">
        <v>-7446</v>
      </c>
      <c r="G40" s="73">
        <v>-1819</v>
      </c>
      <c r="H40" s="73">
        <v>-3582</v>
      </c>
      <c r="I40" s="73">
        <v>-5400</v>
      </c>
      <c r="J40" s="73">
        <v>-7331</v>
      </c>
      <c r="K40" s="73">
        <v>-1735</v>
      </c>
      <c r="L40" s="73">
        <v>-3645</v>
      </c>
      <c r="M40" s="73">
        <v>-5532</v>
      </c>
      <c r="N40" s="73">
        <v>-7628</v>
      </c>
      <c r="O40" s="73">
        <v>-1677</v>
      </c>
      <c r="P40" s="73">
        <v>-3375.4190950000002</v>
      </c>
      <c r="Q40" s="73">
        <v>-5010</v>
      </c>
      <c r="R40" s="73">
        <v>-6863</v>
      </c>
      <c r="S40" s="73">
        <v>-1833</v>
      </c>
      <c r="T40" s="73">
        <v>-3473</v>
      </c>
      <c r="U40" s="73">
        <v>-5054</v>
      </c>
      <c r="V40" s="73">
        <v>-6970</v>
      </c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</row>
    <row r="41" spans="1:61">
      <c r="A41" s="29"/>
      <c r="B41" s="74" t="s">
        <v>40</v>
      </c>
      <c r="C41" s="73">
        <v>-235</v>
      </c>
      <c r="D41" s="73">
        <v>-468</v>
      </c>
      <c r="E41" s="73">
        <v>-696</v>
      </c>
      <c r="F41" s="73">
        <v>-927</v>
      </c>
      <c r="G41" s="73">
        <v>-239</v>
      </c>
      <c r="H41" s="73">
        <v>-468</v>
      </c>
      <c r="I41" s="73">
        <v>-703</v>
      </c>
      <c r="J41" s="73">
        <v>-936</v>
      </c>
      <c r="K41" s="73">
        <v>-245</v>
      </c>
      <c r="L41" s="73">
        <v>-486</v>
      </c>
      <c r="M41" s="73">
        <v>-735</v>
      </c>
      <c r="N41" s="73">
        <v>-1011</v>
      </c>
      <c r="O41" s="73">
        <v>-96</v>
      </c>
      <c r="P41" s="73">
        <v>-199.88464199999999</v>
      </c>
      <c r="Q41" s="73">
        <v>-200</v>
      </c>
      <c r="R41" s="73">
        <v>-200</v>
      </c>
      <c r="S41" s="73">
        <v>-220</v>
      </c>
      <c r="T41" s="73">
        <v>-217</v>
      </c>
      <c r="U41" s="73">
        <v>-217</v>
      </c>
      <c r="V41" s="73">
        <v>-217</v>
      </c>
      <c r="W41" s="21" t="s">
        <v>121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</row>
    <row r="42" spans="1:61">
      <c r="A42" s="29"/>
      <c r="B42" s="72" t="s">
        <v>12</v>
      </c>
      <c r="C42" s="73">
        <v>-579</v>
      </c>
      <c r="D42" s="73">
        <v>-1154</v>
      </c>
      <c r="E42" s="73">
        <v>-1731</v>
      </c>
      <c r="F42" s="73">
        <v>-2284</v>
      </c>
      <c r="G42" s="73">
        <v>-570</v>
      </c>
      <c r="H42" s="73">
        <v>-1152</v>
      </c>
      <c r="I42" s="73">
        <v>-1715</v>
      </c>
      <c r="J42" s="73">
        <v>-2271</v>
      </c>
      <c r="K42" s="73">
        <v>-535</v>
      </c>
      <c r="L42" s="73">
        <v>-1071</v>
      </c>
      <c r="M42" s="73">
        <v>-1601</v>
      </c>
      <c r="N42" s="73">
        <v>-2154</v>
      </c>
      <c r="O42" s="73">
        <v>-504</v>
      </c>
      <c r="P42" s="73">
        <v>-1011.628257</v>
      </c>
      <c r="Q42" s="73">
        <v>-1534</v>
      </c>
      <c r="R42" s="73">
        <v>-2114</v>
      </c>
      <c r="S42" s="73">
        <v>-545</v>
      </c>
      <c r="T42" s="73">
        <v>-1031</v>
      </c>
      <c r="U42" s="73">
        <v>-1534</v>
      </c>
      <c r="V42" s="73">
        <v>-2046</v>
      </c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</row>
    <row r="43" spans="1:61">
      <c r="A43" s="31"/>
      <c r="B43" s="49" t="s">
        <v>9</v>
      </c>
      <c r="C43" s="51">
        <v>-4739</v>
      </c>
      <c r="D43" s="51">
        <v>-9461</v>
      </c>
      <c r="E43" s="51">
        <v>-14188</v>
      </c>
      <c r="F43" s="51">
        <v>-18743</v>
      </c>
      <c r="G43" s="51">
        <v>-4519</v>
      </c>
      <c r="H43" s="51">
        <v>-9045</v>
      </c>
      <c r="I43" s="51">
        <v>-13598</v>
      </c>
      <c r="J43" s="51">
        <v>-18234</v>
      </c>
      <c r="K43" s="51">
        <v>-4421</v>
      </c>
      <c r="L43" s="51">
        <v>-9083</v>
      </c>
      <c r="M43" s="51">
        <v>-13635</v>
      </c>
      <c r="N43" s="51">
        <v>-18586</v>
      </c>
      <c r="O43" s="51">
        <v>-4369</v>
      </c>
      <c r="P43" s="51">
        <v>-8781.8821580000003</v>
      </c>
      <c r="Q43" s="51">
        <v>-13232</v>
      </c>
      <c r="R43" s="51">
        <v>-18146</v>
      </c>
      <c r="S43" s="51">
        <v>-4613</v>
      </c>
      <c r="T43" s="51">
        <v>-9021</v>
      </c>
      <c r="U43" s="51">
        <v>-13436</v>
      </c>
      <c r="V43" s="51">
        <v>-18240</v>
      </c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</row>
    <row r="44" spans="1:61">
      <c r="A44" s="29"/>
      <c r="B44" s="17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</row>
    <row r="45" spans="1:61">
      <c r="A45" s="29"/>
      <c r="B45" s="17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</row>
    <row r="46" spans="1:61">
      <c r="A46" s="29"/>
      <c r="B46" s="52" t="s">
        <v>41</v>
      </c>
      <c r="C46" s="75"/>
      <c r="D46" s="24">
        <v>41455</v>
      </c>
      <c r="E46" s="24">
        <v>41547</v>
      </c>
      <c r="F46" s="24">
        <v>41639</v>
      </c>
      <c r="G46" s="24">
        <v>41729</v>
      </c>
      <c r="H46" s="24">
        <v>41820</v>
      </c>
      <c r="I46" s="24">
        <v>41912</v>
      </c>
      <c r="J46" s="24">
        <v>42004</v>
      </c>
      <c r="K46" s="24">
        <v>42094</v>
      </c>
      <c r="L46" s="24">
        <v>42185</v>
      </c>
      <c r="M46" s="24">
        <v>42277</v>
      </c>
      <c r="N46" s="24">
        <v>42369</v>
      </c>
      <c r="O46" s="24">
        <v>42460</v>
      </c>
      <c r="P46" s="24">
        <v>42551</v>
      </c>
      <c r="Q46" s="24">
        <v>42643</v>
      </c>
      <c r="R46" s="24">
        <v>42735</v>
      </c>
      <c r="S46" s="24">
        <v>42825</v>
      </c>
      <c r="T46" s="24">
        <v>42916</v>
      </c>
      <c r="U46" s="24">
        <v>43008</v>
      </c>
      <c r="V46" s="24">
        <v>43100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</row>
    <row r="47" spans="1:61">
      <c r="A47" s="29"/>
      <c r="B47" s="40" t="s">
        <v>42</v>
      </c>
      <c r="C47" s="38"/>
      <c r="D47" s="38">
        <v>48820.85254788</v>
      </c>
      <c r="E47" s="38">
        <v>53582</v>
      </c>
      <c r="F47" s="38">
        <v>77581</v>
      </c>
      <c r="G47" s="38">
        <v>73943</v>
      </c>
      <c r="H47" s="38">
        <v>66954</v>
      </c>
      <c r="I47" s="38">
        <v>65637.552376000007</v>
      </c>
      <c r="J47" s="38">
        <v>54489</v>
      </c>
      <c r="K47" s="38">
        <v>67851</v>
      </c>
      <c r="L47" s="38">
        <v>70975</v>
      </c>
      <c r="M47" s="38">
        <v>105495</v>
      </c>
      <c r="N47" s="38">
        <v>111027</v>
      </c>
      <c r="O47" s="38">
        <v>127299</v>
      </c>
      <c r="P47" s="38">
        <v>156290</v>
      </c>
      <c r="Q47" s="38">
        <v>160154</v>
      </c>
      <c r="R47" s="38">
        <v>173100</v>
      </c>
      <c r="S47" s="38">
        <v>231235</v>
      </c>
      <c r="T47" s="38">
        <v>331303</v>
      </c>
      <c r="U47" s="38">
        <v>231204</v>
      </c>
      <c r="V47" s="38">
        <v>280221</v>
      </c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</row>
    <row r="48" spans="1:61">
      <c r="A48" s="31"/>
      <c r="B48" s="40" t="s">
        <v>43</v>
      </c>
      <c r="C48" s="38"/>
      <c r="D48" s="38">
        <v>68045.948000000004</v>
      </c>
      <c r="E48" s="38">
        <v>59151</v>
      </c>
      <c r="F48" s="38">
        <v>47718</v>
      </c>
      <c r="G48" s="38">
        <v>41558</v>
      </c>
      <c r="H48" s="38">
        <v>29433</v>
      </c>
      <c r="I48" s="38">
        <v>26867.052238</v>
      </c>
      <c r="J48" s="38">
        <v>23231</v>
      </c>
      <c r="K48" s="38">
        <v>24609</v>
      </c>
      <c r="L48" s="38">
        <v>17890</v>
      </c>
      <c r="M48" s="38">
        <v>19049</v>
      </c>
      <c r="N48" s="38">
        <v>14725</v>
      </c>
      <c r="O48" s="38">
        <v>25111</v>
      </c>
      <c r="P48" s="38">
        <v>27812</v>
      </c>
      <c r="Q48" s="38">
        <v>33152</v>
      </c>
      <c r="R48" s="38">
        <v>20944</v>
      </c>
      <c r="S48" s="38">
        <v>112434</v>
      </c>
      <c r="T48" s="38">
        <v>37721</v>
      </c>
      <c r="U48" s="38">
        <v>11557</v>
      </c>
      <c r="V48" s="38">
        <v>11433</v>
      </c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</row>
    <row r="49" spans="1:61">
      <c r="A49" s="31"/>
      <c r="B49" s="41" t="s">
        <v>44</v>
      </c>
      <c r="C49" s="38"/>
      <c r="D49" s="38">
        <v>20584.777999999998</v>
      </c>
      <c r="E49" s="38">
        <v>20334</v>
      </c>
      <c r="F49" s="38">
        <v>21168</v>
      </c>
      <c r="G49" s="38">
        <v>21682</v>
      </c>
      <c r="H49" s="38">
        <v>16575</v>
      </c>
      <c r="I49" s="38">
        <v>17586.539238000001</v>
      </c>
      <c r="J49" s="38">
        <v>18740</v>
      </c>
      <c r="K49" s="38">
        <v>19065</v>
      </c>
      <c r="L49" s="38">
        <v>14596</v>
      </c>
      <c r="M49" s="38">
        <v>14913</v>
      </c>
      <c r="N49" s="38">
        <v>13995</v>
      </c>
      <c r="O49" s="38">
        <v>15404</v>
      </c>
      <c r="P49" s="38">
        <v>14853</v>
      </c>
      <c r="Q49" s="38">
        <v>13577</v>
      </c>
      <c r="R49" s="38">
        <v>13357</v>
      </c>
      <c r="S49" s="38">
        <v>12403</v>
      </c>
      <c r="T49" s="38">
        <v>12059</v>
      </c>
      <c r="U49" s="38">
        <v>11310</v>
      </c>
      <c r="V49" s="38">
        <v>11301</v>
      </c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28"/>
      <c r="AZ49" s="65"/>
      <c r="BA49" s="65"/>
      <c r="BB49" s="65"/>
      <c r="BC49" s="65"/>
      <c r="BD49" s="65"/>
      <c r="BE49" s="65"/>
      <c r="BF49" s="65"/>
      <c r="BG49" s="65"/>
      <c r="BH49" s="65"/>
      <c r="BI49" s="65"/>
    </row>
    <row r="50" spans="1:61">
      <c r="B50" s="41" t="s">
        <v>45</v>
      </c>
      <c r="C50" s="38"/>
      <c r="D50" s="38">
        <v>47461.170000000006</v>
      </c>
      <c r="E50" s="38">
        <v>38817</v>
      </c>
      <c r="F50" s="38">
        <v>26550</v>
      </c>
      <c r="G50" s="38">
        <v>19876</v>
      </c>
      <c r="H50" s="38">
        <v>12858</v>
      </c>
      <c r="I50" s="38">
        <v>9279.512999999999</v>
      </c>
      <c r="J50" s="38">
        <v>4491</v>
      </c>
      <c r="K50" s="38">
        <v>5544</v>
      </c>
      <c r="L50" s="38">
        <v>3294</v>
      </c>
      <c r="M50" s="38">
        <v>4136</v>
      </c>
      <c r="N50" s="38">
        <v>730</v>
      </c>
      <c r="O50" s="38">
        <v>9707</v>
      </c>
      <c r="P50" s="38">
        <v>12959</v>
      </c>
      <c r="Q50" s="38">
        <v>19575</v>
      </c>
      <c r="R50" s="38">
        <v>7587</v>
      </c>
      <c r="S50" s="38">
        <v>100031</v>
      </c>
      <c r="T50" s="38">
        <v>25662</v>
      </c>
      <c r="U50" s="38">
        <v>247</v>
      </c>
      <c r="V50" s="38">
        <v>132</v>
      </c>
      <c r="W50" s="28"/>
      <c r="AY50" s="28"/>
    </row>
    <row r="51" spans="1:61">
      <c r="A51" s="29"/>
      <c r="B51" s="55" t="s">
        <v>46</v>
      </c>
      <c r="C51" s="38"/>
      <c r="D51" s="38">
        <v>6666.7110000000002</v>
      </c>
      <c r="E51" s="38">
        <v>5149</v>
      </c>
      <c r="F51" s="38">
        <v>4223</v>
      </c>
      <c r="G51" s="38">
        <v>4204</v>
      </c>
      <c r="H51" s="38">
        <v>2967</v>
      </c>
      <c r="I51" s="38">
        <v>2845.8555000000001</v>
      </c>
      <c r="J51" s="38">
        <v>1272</v>
      </c>
      <c r="K51" s="38">
        <v>973</v>
      </c>
      <c r="L51" s="38">
        <v>925</v>
      </c>
      <c r="M51" s="38">
        <v>923</v>
      </c>
      <c r="N51" s="38">
        <v>907</v>
      </c>
      <c r="O51" s="38">
        <v>913</v>
      </c>
      <c r="P51" s="38">
        <v>962</v>
      </c>
      <c r="Q51" s="38">
        <v>960</v>
      </c>
      <c r="R51" s="38">
        <v>423</v>
      </c>
      <c r="S51" s="38">
        <v>405</v>
      </c>
      <c r="T51" s="38">
        <v>383</v>
      </c>
      <c r="U51" s="38">
        <v>411</v>
      </c>
      <c r="V51" s="38">
        <v>407</v>
      </c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3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</row>
    <row r="52" spans="1:61">
      <c r="A52" s="29"/>
      <c r="B52" s="40" t="s">
        <v>47</v>
      </c>
      <c r="C52" s="38"/>
      <c r="D52" s="38">
        <v>44591.511500000001</v>
      </c>
      <c r="E52" s="38">
        <v>54301</v>
      </c>
      <c r="F52" s="38">
        <v>82295</v>
      </c>
      <c r="G52" s="38">
        <v>65541</v>
      </c>
      <c r="H52" s="38">
        <v>81298</v>
      </c>
      <c r="I52" s="38">
        <v>90885.388000000006</v>
      </c>
      <c r="J52" s="38">
        <v>99289</v>
      </c>
      <c r="K52" s="38">
        <v>100049</v>
      </c>
      <c r="L52" s="38">
        <v>94087</v>
      </c>
      <c r="M52" s="38">
        <v>84492</v>
      </c>
      <c r="N52" s="38">
        <v>78053</v>
      </c>
      <c r="O52" s="38">
        <v>78597</v>
      </c>
      <c r="P52" s="38">
        <v>80837</v>
      </c>
      <c r="Q52" s="38">
        <v>81921</v>
      </c>
      <c r="R52" s="38">
        <v>81274</v>
      </c>
      <c r="S52" s="38">
        <v>69165</v>
      </c>
      <c r="T52" s="38">
        <v>59837</v>
      </c>
      <c r="U52" s="38">
        <v>57523</v>
      </c>
      <c r="V52" s="38">
        <v>55283</v>
      </c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</row>
    <row r="53" spans="1:61">
      <c r="A53" s="29"/>
      <c r="B53" s="40" t="s">
        <v>48</v>
      </c>
      <c r="C53" s="38"/>
      <c r="D53" s="38">
        <v>163501.682</v>
      </c>
      <c r="E53" s="38">
        <v>145780</v>
      </c>
      <c r="F53" s="38">
        <v>154720</v>
      </c>
      <c r="G53" s="38">
        <v>142300</v>
      </c>
      <c r="H53" s="38">
        <v>144013</v>
      </c>
      <c r="I53" s="38">
        <v>145975.69099999999</v>
      </c>
      <c r="J53" s="38">
        <v>151513</v>
      </c>
      <c r="K53" s="38">
        <v>152375</v>
      </c>
      <c r="L53" s="38">
        <v>161158</v>
      </c>
      <c r="M53" s="38">
        <v>159640</v>
      </c>
      <c r="N53" s="38">
        <v>160988</v>
      </c>
      <c r="O53" s="38">
        <v>160852</v>
      </c>
      <c r="P53" s="38">
        <v>159901</v>
      </c>
      <c r="Q53" s="38">
        <v>161312</v>
      </c>
      <c r="R53" s="38">
        <v>167899</v>
      </c>
      <c r="S53" s="38">
        <v>168988</v>
      </c>
      <c r="T53" s="38">
        <v>162653</v>
      </c>
      <c r="U53" s="38">
        <v>160751</v>
      </c>
      <c r="V53" s="38">
        <v>163679</v>
      </c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</row>
    <row r="54" spans="1:61">
      <c r="A54" s="29"/>
      <c r="B54" s="40" t="s">
        <v>49</v>
      </c>
      <c r="C54" s="38"/>
      <c r="D54" s="38">
        <v>62732.445909185</v>
      </c>
      <c r="E54" s="38">
        <v>60414</v>
      </c>
      <c r="F54" s="38">
        <v>75348</v>
      </c>
      <c r="G54" s="38">
        <v>57045</v>
      </c>
      <c r="H54" s="38">
        <v>49311</v>
      </c>
      <c r="I54" s="38">
        <v>41065.600112000007</v>
      </c>
      <c r="J54" s="38">
        <v>38533</v>
      </c>
      <c r="K54" s="38">
        <v>39582</v>
      </c>
      <c r="L54" s="38">
        <v>34942</v>
      </c>
      <c r="M54" s="38">
        <v>36845</v>
      </c>
      <c r="N54" s="38">
        <v>34717</v>
      </c>
      <c r="O54" s="38">
        <v>34726</v>
      </c>
      <c r="P54" s="38">
        <v>33084</v>
      </c>
      <c r="Q54" s="38">
        <v>52525</v>
      </c>
      <c r="R54" s="38">
        <v>22328</v>
      </c>
      <c r="S54" s="38">
        <v>115563</v>
      </c>
      <c r="T54" s="38">
        <v>27200</v>
      </c>
      <c r="U54" s="38">
        <v>183648</v>
      </c>
      <c r="V54" s="38">
        <v>157525</v>
      </c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</row>
    <row r="55" spans="1:61">
      <c r="A55" s="29"/>
      <c r="B55" s="40" t="s">
        <v>50</v>
      </c>
      <c r="C55" s="38"/>
      <c r="D55" s="38">
        <v>477424</v>
      </c>
      <c r="E55" s="38">
        <v>479454</v>
      </c>
      <c r="F55" s="38">
        <v>489194</v>
      </c>
      <c r="G55" s="38">
        <v>491418</v>
      </c>
      <c r="H55" s="38">
        <v>489483</v>
      </c>
      <c r="I55" s="38">
        <v>491289.45694900001</v>
      </c>
      <c r="J55" s="38">
        <v>500039</v>
      </c>
      <c r="K55" s="38">
        <v>505975</v>
      </c>
      <c r="L55" s="38">
        <v>510765</v>
      </c>
      <c r="M55" s="38">
        <v>524082</v>
      </c>
      <c r="N55" s="38">
        <v>532524</v>
      </c>
      <c r="O55" s="38">
        <v>543240</v>
      </c>
      <c r="P55" s="38">
        <v>553224</v>
      </c>
      <c r="Q55" s="38">
        <v>570344</v>
      </c>
      <c r="R55" s="38">
        <v>577453</v>
      </c>
      <c r="S55" s="38">
        <v>590288</v>
      </c>
      <c r="T55" s="38">
        <v>606787</v>
      </c>
      <c r="U55" s="38">
        <v>654195</v>
      </c>
      <c r="V55" s="38">
        <v>638694</v>
      </c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</row>
    <row r="56" spans="1:61">
      <c r="A56" s="29"/>
      <c r="B56" s="40" t="s">
        <v>51</v>
      </c>
      <c r="C56" s="38"/>
      <c r="D56" s="38">
        <v>947.22799999999995</v>
      </c>
      <c r="E56" s="38">
        <v>1096</v>
      </c>
      <c r="F56" s="38">
        <v>945</v>
      </c>
      <c r="G56" s="38">
        <v>894</v>
      </c>
      <c r="H56" s="38">
        <v>1088</v>
      </c>
      <c r="I56" s="38">
        <v>1114.23</v>
      </c>
      <c r="J56" s="38">
        <v>878</v>
      </c>
      <c r="K56" s="38">
        <v>948</v>
      </c>
      <c r="L56" s="38">
        <v>823</v>
      </c>
      <c r="M56" s="38">
        <v>1063</v>
      </c>
      <c r="N56" s="38">
        <v>663</v>
      </c>
      <c r="O56" s="38">
        <v>811</v>
      </c>
      <c r="P56" s="38">
        <v>895</v>
      </c>
      <c r="Q56" s="38">
        <v>910</v>
      </c>
      <c r="R56" s="38">
        <v>519</v>
      </c>
      <c r="S56" s="38">
        <v>483</v>
      </c>
      <c r="T56" s="38">
        <v>594</v>
      </c>
      <c r="U56" s="38">
        <v>436</v>
      </c>
      <c r="V56" s="38">
        <v>613</v>
      </c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</row>
    <row r="57" spans="1:61">
      <c r="B57" s="40" t="s">
        <v>52</v>
      </c>
      <c r="C57" s="38"/>
      <c r="D57" s="38">
        <v>14279.980473164502</v>
      </c>
      <c r="E57" s="38">
        <v>14081</v>
      </c>
      <c r="F57" s="38">
        <v>14166</v>
      </c>
      <c r="G57" s="38">
        <v>13909</v>
      </c>
      <c r="H57" s="38">
        <v>13719</v>
      </c>
      <c r="I57" s="38">
        <v>13401.783370000001</v>
      </c>
      <c r="J57" s="38">
        <v>13431</v>
      </c>
      <c r="K57" s="38">
        <v>13162</v>
      </c>
      <c r="L57" s="38">
        <v>13081</v>
      </c>
      <c r="M57" s="38">
        <v>12921</v>
      </c>
      <c r="N57" s="38">
        <v>12318</v>
      </c>
      <c r="O57" s="38">
        <v>12079</v>
      </c>
      <c r="P57" s="38">
        <v>10912</v>
      </c>
      <c r="Q57" s="38">
        <v>10855</v>
      </c>
      <c r="R57" s="38">
        <v>10456</v>
      </c>
      <c r="S57" s="38">
        <v>10205</v>
      </c>
      <c r="T57" s="38">
        <v>10071</v>
      </c>
      <c r="U57" s="38">
        <v>9939</v>
      </c>
      <c r="V57" s="38">
        <v>9913</v>
      </c>
      <c r="W57" s="28"/>
      <c r="AY57" s="28"/>
    </row>
    <row r="58" spans="1:61">
      <c r="A58" s="29"/>
      <c r="B58" s="40" t="s">
        <v>53</v>
      </c>
      <c r="C58" s="38"/>
      <c r="D58" s="38">
        <v>8544.2676999999985</v>
      </c>
      <c r="E58" s="38">
        <v>8031</v>
      </c>
      <c r="F58" s="38">
        <v>8330</v>
      </c>
      <c r="G58" s="38">
        <v>8318</v>
      </c>
      <c r="H58" s="38">
        <v>8208</v>
      </c>
      <c r="I58" s="38">
        <v>7950.2960000000003</v>
      </c>
      <c r="J58" s="38">
        <v>7342</v>
      </c>
      <c r="K58" s="38">
        <v>7327</v>
      </c>
      <c r="L58" s="38">
        <v>5894</v>
      </c>
      <c r="M58" s="38">
        <v>5039</v>
      </c>
      <c r="N58" s="38">
        <v>4949</v>
      </c>
      <c r="O58" s="38">
        <v>4819</v>
      </c>
      <c r="P58" s="38">
        <v>4819</v>
      </c>
      <c r="Q58" s="38">
        <v>2586</v>
      </c>
      <c r="R58" s="38">
        <v>2390</v>
      </c>
      <c r="S58" s="38">
        <v>2390</v>
      </c>
      <c r="T58" s="38">
        <v>2372</v>
      </c>
      <c r="U58" s="38">
        <v>2372</v>
      </c>
      <c r="V58" s="38">
        <v>2372</v>
      </c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3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</row>
    <row r="59" spans="1:61">
      <c r="A59" s="29"/>
      <c r="B59" s="55" t="s">
        <v>54</v>
      </c>
      <c r="C59" s="38"/>
      <c r="D59" s="38">
        <v>3000.2759415400001</v>
      </c>
      <c r="E59" s="38">
        <v>3067</v>
      </c>
      <c r="F59" s="38">
        <v>3333</v>
      </c>
      <c r="G59" s="38">
        <v>3196</v>
      </c>
      <c r="H59" s="38">
        <v>3140</v>
      </c>
      <c r="I59" s="38">
        <v>3146.9646270000003</v>
      </c>
      <c r="J59" s="38">
        <v>3593</v>
      </c>
      <c r="K59" s="38">
        <v>3444</v>
      </c>
      <c r="L59" s="38">
        <v>3413</v>
      </c>
      <c r="M59" s="38">
        <v>3456</v>
      </c>
      <c r="N59" s="38">
        <v>3966</v>
      </c>
      <c r="O59" s="38">
        <v>3849</v>
      </c>
      <c r="P59" s="38">
        <v>3844</v>
      </c>
      <c r="Q59" s="38">
        <v>3845</v>
      </c>
      <c r="R59" s="38">
        <v>4284</v>
      </c>
      <c r="S59" s="38">
        <v>4100</v>
      </c>
      <c r="T59" s="38">
        <v>4197</v>
      </c>
      <c r="U59" s="38">
        <v>4266</v>
      </c>
      <c r="V59" s="38">
        <v>4854</v>
      </c>
      <c r="W59" s="21"/>
      <c r="X59" s="21"/>
      <c r="Y59" s="21"/>
      <c r="Z59" s="21"/>
      <c r="AA59" s="21"/>
      <c r="AB59" s="21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</row>
    <row r="60" spans="1:61">
      <c r="A60" s="29"/>
      <c r="B60" s="55" t="s">
        <v>88</v>
      </c>
      <c r="C60" s="38"/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597</v>
      </c>
      <c r="Q60" s="38">
        <v>769.07076700000005</v>
      </c>
      <c r="R60" s="38">
        <v>753.47097299999996</v>
      </c>
      <c r="S60" s="38">
        <v>743.75623799999994</v>
      </c>
      <c r="T60" s="38">
        <v>741.19291300000009</v>
      </c>
      <c r="U60" s="38">
        <v>740.57250900000008</v>
      </c>
      <c r="V60" s="38">
        <v>762.24926000000005</v>
      </c>
      <c r="W60" s="21"/>
      <c r="X60" s="21"/>
      <c r="Y60" s="21"/>
      <c r="Z60" s="21"/>
      <c r="AA60" s="21"/>
      <c r="AB60" s="21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</row>
    <row r="61" spans="1:61">
      <c r="A61" s="29"/>
      <c r="B61" s="40" t="s">
        <v>55</v>
      </c>
      <c r="C61" s="38"/>
      <c r="D61" s="38">
        <v>266.01255891100004</v>
      </c>
      <c r="E61" s="38">
        <v>169</v>
      </c>
      <c r="F61" s="38">
        <v>102</v>
      </c>
      <c r="G61" s="38">
        <v>132</v>
      </c>
      <c r="H61" s="38">
        <v>378</v>
      </c>
      <c r="I61" s="38">
        <v>479.168947</v>
      </c>
      <c r="J61" s="38">
        <v>543</v>
      </c>
      <c r="K61" s="38">
        <v>727</v>
      </c>
      <c r="L61" s="38">
        <v>969</v>
      </c>
      <c r="M61" s="38">
        <v>1013</v>
      </c>
      <c r="N61" s="38">
        <v>740</v>
      </c>
      <c r="O61" s="38">
        <v>870</v>
      </c>
      <c r="P61" s="38">
        <v>919</v>
      </c>
      <c r="Q61" s="38">
        <v>742</v>
      </c>
      <c r="R61" s="38">
        <v>611</v>
      </c>
      <c r="S61" s="38">
        <v>745</v>
      </c>
      <c r="T61" s="38">
        <v>858</v>
      </c>
      <c r="U61" s="38">
        <v>630</v>
      </c>
      <c r="V61" s="38">
        <v>341</v>
      </c>
      <c r="W61" s="21"/>
      <c r="X61" s="21"/>
      <c r="Y61" s="21"/>
      <c r="Z61" s="21"/>
      <c r="AA61" s="21"/>
      <c r="AB61" s="21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</row>
    <row r="62" spans="1:61">
      <c r="A62" s="31"/>
      <c r="B62" s="40" t="s">
        <v>56</v>
      </c>
      <c r="C62" s="38"/>
      <c r="D62" s="38">
        <v>120.0322686568</v>
      </c>
      <c r="E62" s="38">
        <v>119</v>
      </c>
      <c r="F62" s="38">
        <v>126</v>
      </c>
      <c r="G62" s="38">
        <v>151</v>
      </c>
      <c r="H62" s="38">
        <v>147</v>
      </c>
      <c r="I62" s="38">
        <v>146.38512</v>
      </c>
      <c r="J62" s="38">
        <v>159</v>
      </c>
      <c r="K62" s="38">
        <v>142</v>
      </c>
      <c r="L62" s="38">
        <v>144</v>
      </c>
      <c r="M62" s="38">
        <v>143</v>
      </c>
      <c r="N62" s="38">
        <v>146</v>
      </c>
      <c r="O62" s="38">
        <v>124</v>
      </c>
      <c r="P62" s="38">
        <v>138</v>
      </c>
      <c r="Q62" s="38">
        <v>-74</v>
      </c>
      <c r="R62" s="38">
        <v>136</v>
      </c>
      <c r="S62" s="38">
        <v>246</v>
      </c>
      <c r="T62" s="38">
        <v>453</v>
      </c>
      <c r="U62" s="38">
        <v>712</v>
      </c>
      <c r="V62" s="38">
        <v>1000</v>
      </c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</row>
    <row r="63" spans="1:61">
      <c r="A63" s="31"/>
      <c r="B63" s="40" t="s">
        <v>90</v>
      </c>
      <c r="C63" s="38"/>
      <c r="D63" s="38">
        <v>3.5999999999999997E-2</v>
      </c>
      <c r="E63" s="38">
        <v>0</v>
      </c>
      <c r="F63" s="38">
        <v>0</v>
      </c>
      <c r="G63" s="38">
        <v>0</v>
      </c>
      <c r="H63" s="38">
        <v>0</v>
      </c>
      <c r="I63" s="38">
        <v>124.884</v>
      </c>
      <c r="J63" s="38">
        <v>0</v>
      </c>
      <c r="K63" s="38">
        <v>47</v>
      </c>
      <c r="L63" s="38">
        <v>1634</v>
      </c>
      <c r="M63" s="38">
        <v>1666</v>
      </c>
      <c r="N63" s="38">
        <v>0</v>
      </c>
      <c r="O63" s="38">
        <v>0</v>
      </c>
      <c r="P63" s="38">
        <v>0</v>
      </c>
      <c r="Q63" s="38">
        <v>2349</v>
      </c>
      <c r="R63" s="38">
        <v>320</v>
      </c>
      <c r="S63" s="38">
        <v>241</v>
      </c>
      <c r="T63" s="38">
        <v>25</v>
      </c>
      <c r="U63" s="38">
        <v>125</v>
      </c>
      <c r="V63" s="38">
        <v>19</v>
      </c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</row>
    <row r="64" spans="1:61">
      <c r="B64" s="40" t="s">
        <v>57</v>
      </c>
      <c r="C64" s="38"/>
      <c r="D64" s="38">
        <v>59122.01610066276</v>
      </c>
      <c r="E64" s="38">
        <v>58807</v>
      </c>
      <c r="F64" s="38">
        <v>10642</v>
      </c>
      <c r="G64" s="38">
        <v>11329</v>
      </c>
      <c r="H64" s="38">
        <v>10193</v>
      </c>
      <c r="I64" s="38">
        <v>6344.8989239998627</v>
      </c>
      <c r="J64" s="38">
        <v>8277</v>
      </c>
      <c r="K64" s="38">
        <v>7659</v>
      </c>
      <c r="L64" s="38">
        <v>6799</v>
      </c>
      <c r="M64" s="38">
        <v>3429</v>
      </c>
      <c r="N64" s="38">
        <v>3861</v>
      </c>
      <c r="O64" s="38">
        <v>3932</v>
      </c>
      <c r="P64" s="38">
        <v>3112</v>
      </c>
      <c r="Q64" s="38">
        <v>3498</v>
      </c>
      <c r="R64" s="38">
        <v>3636</v>
      </c>
      <c r="S64" s="38">
        <v>3609</v>
      </c>
      <c r="T64" s="38">
        <v>2376</v>
      </c>
      <c r="U64" s="38">
        <v>2444</v>
      </c>
      <c r="V64" s="38">
        <v>2107</v>
      </c>
      <c r="AY64" s="28"/>
    </row>
    <row r="65" spans="1:61">
      <c r="A65" s="29"/>
      <c r="B65" s="77" t="s">
        <v>13</v>
      </c>
      <c r="C65" s="50"/>
      <c r="D65" s="50">
        <v>958178</v>
      </c>
      <c r="E65" s="50">
        <v>943381</v>
      </c>
      <c r="F65" s="50">
        <v>968723</v>
      </c>
      <c r="G65" s="50">
        <v>913938</v>
      </c>
      <c r="H65" s="50">
        <v>900332</v>
      </c>
      <c r="I65" s="50">
        <v>897275.2071629999</v>
      </c>
      <c r="J65" s="50">
        <v>902589</v>
      </c>
      <c r="K65" s="50">
        <v>924870</v>
      </c>
      <c r="L65" s="50">
        <v>923499</v>
      </c>
      <c r="M65" s="50">
        <v>959256</v>
      </c>
      <c r="N65" s="50">
        <v>959584</v>
      </c>
      <c r="O65" s="50">
        <v>997222</v>
      </c>
      <c r="P65" s="50">
        <v>1037346</v>
      </c>
      <c r="Q65" s="50">
        <v>1085848</v>
      </c>
      <c r="R65" s="50">
        <v>1066526</v>
      </c>
      <c r="S65" s="50">
        <v>1310841</v>
      </c>
      <c r="T65" s="50">
        <v>1247571</v>
      </c>
      <c r="U65" s="50">
        <v>1320954</v>
      </c>
      <c r="V65" s="50">
        <v>1329223</v>
      </c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3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</row>
    <row r="66" spans="1:61">
      <c r="A66" s="31"/>
      <c r="B66" s="53"/>
      <c r="C66" s="54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</row>
    <row r="67" spans="1:61">
      <c r="A67" s="29"/>
      <c r="B67" s="52" t="s">
        <v>58</v>
      </c>
      <c r="C67" s="79"/>
      <c r="D67" s="24">
        <v>41455</v>
      </c>
      <c r="E67" s="24">
        <v>41547</v>
      </c>
      <c r="F67" s="24">
        <v>41639</v>
      </c>
      <c r="G67" s="24">
        <v>41729</v>
      </c>
      <c r="H67" s="24">
        <v>41820</v>
      </c>
      <c r="I67" s="24">
        <v>41912</v>
      </c>
      <c r="J67" s="24">
        <v>42004</v>
      </c>
      <c r="K67" s="24">
        <v>42094</v>
      </c>
      <c r="L67" s="24">
        <v>42185</v>
      </c>
      <c r="M67" s="24">
        <v>42277</v>
      </c>
      <c r="N67" s="24">
        <v>42369</v>
      </c>
      <c r="O67" s="24">
        <v>42460</v>
      </c>
      <c r="P67" s="24">
        <v>42551</v>
      </c>
      <c r="Q67" s="24">
        <v>42643</v>
      </c>
      <c r="R67" s="24">
        <v>42735</v>
      </c>
      <c r="S67" s="24">
        <v>42825</v>
      </c>
      <c r="T67" s="24">
        <v>42916</v>
      </c>
      <c r="U67" s="24">
        <v>43008</v>
      </c>
      <c r="V67" s="24">
        <v>43100</v>
      </c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</row>
    <row r="68" spans="1:61">
      <c r="A68" s="29"/>
      <c r="B68" s="40" t="s">
        <v>59</v>
      </c>
      <c r="C68" s="38"/>
      <c r="D68" s="38">
        <v>22173.686231160002</v>
      </c>
      <c r="E68" s="38">
        <v>21295</v>
      </c>
      <c r="F68" s="38">
        <v>24024</v>
      </c>
      <c r="G68" s="38">
        <v>24708</v>
      </c>
      <c r="H68" s="38">
        <v>18426</v>
      </c>
      <c r="I68" s="38">
        <v>29645</v>
      </c>
      <c r="J68" s="38">
        <v>23431</v>
      </c>
      <c r="K68" s="38">
        <v>22918</v>
      </c>
      <c r="L68" s="38">
        <v>24985</v>
      </c>
      <c r="M68" s="38">
        <v>23908</v>
      </c>
      <c r="N68" s="38">
        <v>14956</v>
      </c>
      <c r="O68" s="38">
        <v>29608</v>
      </c>
      <c r="P68" s="38">
        <v>28859</v>
      </c>
      <c r="Q68" s="38">
        <v>40737</v>
      </c>
      <c r="R68" s="38">
        <v>17982</v>
      </c>
      <c r="S68" s="38">
        <v>136363</v>
      </c>
      <c r="T68" s="38">
        <v>56287</v>
      </c>
      <c r="U68" s="38">
        <v>17472</v>
      </c>
      <c r="V68" s="38">
        <v>11414</v>
      </c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</row>
    <row r="69" spans="1:61">
      <c r="A69" s="29"/>
      <c r="B69" s="41" t="s">
        <v>44</v>
      </c>
      <c r="C69" s="38"/>
      <c r="D69" s="38">
        <v>22168.01823116</v>
      </c>
      <c r="E69" s="38">
        <v>21287</v>
      </c>
      <c r="F69" s="38">
        <v>24024</v>
      </c>
      <c r="G69" s="38">
        <v>24708</v>
      </c>
      <c r="H69" s="38">
        <v>18409</v>
      </c>
      <c r="I69" s="38">
        <v>19401</v>
      </c>
      <c r="J69" s="38">
        <v>20654</v>
      </c>
      <c r="K69" s="38">
        <v>20221</v>
      </c>
      <c r="L69" s="38">
        <v>16013</v>
      </c>
      <c r="M69" s="38">
        <v>16414</v>
      </c>
      <c r="N69" s="38">
        <v>14944</v>
      </c>
      <c r="O69" s="38">
        <v>16709</v>
      </c>
      <c r="P69" s="38">
        <v>16074</v>
      </c>
      <c r="Q69" s="38">
        <v>14614</v>
      </c>
      <c r="R69" s="38">
        <v>13877</v>
      </c>
      <c r="S69" s="38">
        <v>13057</v>
      </c>
      <c r="T69" s="38">
        <v>12704</v>
      </c>
      <c r="U69" s="38">
        <v>11658</v>
      </c>
      <c r="V69" s="38">
        <v>11414</v>
      </c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</row>
    <row r="70" spans="1:61">
      <c r="A70" s="29"/>
      <c r="B70" s="41" t="s">
        <v>60</v>
      </c>
      <c r="C70" s="38"/>
      <c r="D70" s="38">
        <v>5.6680000000014843</v>
      </c>
      <c r="E70" s="38">
        <v>7</v>
      </c>
      <c r="F70" s="38">
        <v>0</v>
      </c>
      <c r="G70" s="38">
        <v>0</v>
      </c>
      <c r="H70" s="38">
        <v>17</v>
      </c>
      <c r="I70" s="38">
        <v>10244</v>
      </c>
      <c r="J70" s="38">
        <v>2777</v>
      </c>
      <c r="K70" s="38">
        <v>2697</v>
      </c>
      <c r="L70" s="38">
        <v>8972</v>
      </c>
      <c r="M70" s="38">
        <v>7494</v>
      </c>
      <c r="N70" s="38">
        <v>12</v>
      </c>
      <c r="O70" s="38">
        <v>12899</v>
      </c>
      <c r="P70" s="38">
        <v>12785</v>
      </c>
      <c r="Q70" s="38">
        <v>26123</v>
      </c>
      <c r="R70" s="38">
        <v>4105</v>
      </c>
      <c r="S70" s="38">
        <v>123306</v>
      </c>
      <c r="T70" s="38">
        <v>43583</v>
      </c>
      <c r="U70" s="38">
        <v>5814</v>
      </c>
      <c r="V70" s="38">
        <v>0</v>
      </c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</row>
    <row r="71" spans="1:61">
      <c r="A71" s="29"/>
      <c r="B71" s="55" t="s">
        <v>61</v>
      </c>
      <c r="C71" s="38"/>
      <c r="D71" s="38">
        <v>15492</v>
      </c>
      <c r="E71" s="38">
        <v>14642</v>
      </c>
      <c r="F71" s="38">
        <v>14434</v>
      </c>
      <c r="G71" s="38">
        <v>13971</v>
      </c>
      <c r="H71" s="38">
        <v>13586</v>
      </c>
      <c r="I71" s="38">
        <v>11625</v>
      </c>
      <c r="J71" s="38">
        <v>9664</v>
      </c>
      <c r="K71" s="38">
        <v>7081</v>
      </c>
      <c r="L71" s="38">
        <v>6467</v>
      </c>
      <c r="M71" s="38">
        <v>5355</v>
      </c>
      <c r="N71" s="38">
        <v>4019</v>
      </c>
      <c r="O71" s="38">
        <v>3298</v>
      </c>
      <c r="P71" s="38">
        <v>3078</v>
      </c>
      <c r="Q71" s="38">
        <v>2135</v>
      </c>
      <c r="R71" s="38">
        <v>1997</v>
      </c>
      <c r="S71" s="38">
        <v>1721</v>
      </c>
      <c r="T71" s="38">
        <v>1337</v>
      </c>
      <c r="U71" s="38">
        <v>1315</v>
      </c>
      <c r="V71" s="38">
        <v>1240</v>
      </c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2"/>
      <c r="AL71" s="22"/>
      <c r="AM71" s="22"/>
      <c r="AN71" s="22"/>
      <c r="AO71" s="22"/>
      <c r="AP71" s="22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</row>
    <row r="72" spans="1:61">
      <c r="A72" s="29"/>
      <c r="B72" s="41" t="s">
        <v>62</v>
      </c>
      <c r="C72" s="38"/>
      <c r="D72" s="38">
        <v>13675</v>
      </c>
      <c r="E72" s="38">
        <v>12818</v>
      </c>
      <c r="F72" s="38">
        <v>12615</v>
      </c>
      <c r="G72" s="38">
        <v>12317</v>
      </c>
      <c r="H72" s="38">
        <v>11950</v>
      </c>
      <c r="I72" s="38">
        <v>9993</v>
      </c>
      <c r="J72" s="38">
        <v>8874</v>
      </c>
      <c r="K72" s="38">
        <v>7081</v>
      </c>
      <c r="L72" s="38">
        <v>6467</v>
      </c>
      <c r="M72" s="38">
        <v>5355</v>
      </c>
      <c r="N72" s="38">
        <v>4019</v>
      </c>
      <c r="O72" s="38">
        <v>3298</v>
      </c>
      <c r="P72" s="38">
        <v>3078</v>
      </c>
      <c r="Q72" s="38">
        <v>2135</v>
      </c>
      <c r="R72" s="38">
        <v>1997</v>
      </c>
      <c r="S72" s="38">
        <v>1721</v>
      </c>
      <c r="T72" s="38">
        <v>1337</v>
      </c>
      <c r="U72" s="38">
        <v>1315</v>
      </c>
      <c r="V72" s="38">
        <v>1240</v>
      </c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2"/>
      <c r="AL72" s="22"/>
      <c r="AM72" s="22"/>
      <c r="AN72" s="22"/>
      <c r="AO72" s="22"/>
      <c r="AP72" s="22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</row>
    <row r="73" spans="1:61">
      <c r="A73" s="29"/>
      <c r="B73" s="41" t="s">
        <v>63</v>
      </c>
      <c r="C73" s="38"/>
      <c r="D73" s="38">
        <v>1817</v>
      </c>
      <c r="E73" s="38">
        <v>1824</v>
      </c>
      <c r="F73" s="38">
        <v>1818</v>
      </c>
      <c r="G73" s="38">
        <v>1654</v>
      </c>
      <c r="H73" s="38">
        <v>1636</v>
      </c>
      <c r="I73" s="38">
        <v>1632</v>
      </c>
      <c r="J73" s="38">
        <v>790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2"/>
      <c r="AL73" s="22"/>
      <c r="AM73" s="22"/>
      <c r="AN73" s="22"/>
      <c r="AO73" s="22"/>
      <c r="AP73" s="22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</row>
    <row r="74" spans="1:61">
      <c r="A74" s="29"/>
      <c r="B74" s="40" t="s">
        <v>64</v>
      </c>
      <c r="C74" s="38"/>
      <c r="D74" s="38">
        <v>763277</v>
      </c>
      <c r="E74" s="38">
        <v>746874</v>
      </c>
      <c r="F74" s="38">
        <v>815659</v>
      </c>
      <c r="G74" s="38">
        <v>754531</v>
      </c>
      <c r="H74" s="38">
        <v>749761</v>
      </c>
      <c r="I74" s="38">
        <v>740968</v>
      </c>
      <c r="J74" s="38">
        <v>751959</v>
      </c>
      <c r="K74" s="38">
        <v>769716</v>
      </c>
      <c r="L74" s="38">
        <v>774850</v>
      </c>
      <c r="M74" s="38">
        <v>808856</v>
      </c>
      <c r="N74" s="38">
        <v>811679</v>
      </c>
      <c r="O74" s="38">
        <v>827746</v>
      </c>
      <c r="P74" s="38">
        <v>877225</v>
      </c>
      <c r="Q74" s="38">
        <v>910236</v>
      </c>
      <c r="R74" s="38">
        <v>911350</v>
      </c>
      <c r="S74" s="38">
        <v>1033602</v>
      </c>
      <c r="T74" s="38">
        <v>1058830</v>
      </c>
      <c r="U74" s="38">
        <v>1169586</v>
      </c>
      <c r="V74" s="38">
        <v>1179929</v>
      </c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2"/>
      <c r="AL74" s="22"/>
      <c r="AM74" s="22"/>
      <c r="AN74" s="22"/>
      <c r="AO74" s="22"/>
      <c r="AP74" s="22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</row>
    <row r="75" spans="1:61">
      <c r="A75" s="29"/>
      <c r="B75" s="41" t="s">
        <v>65</v>
      </c>
      <c r="C75" s="38"/>
      <c r="D75" s="38">
        <v>53509.775813999993</v>
      </c>
      <c r="E75" s="38">
        <v>40593</v>
      </c>
      <c r="F75" s="38">
        <v>73036</v>
      </c>
      <c r="G75" s="38">
        <v>62107</v>
      </c>
      <c r="H75" s="38">
        <v>61971</v>
      </c>
      <c r="I75" s="38">
        <v>58131</v>
      </c>
      <c r="J75" s="38">
        <v>54570</v>
      </c>
      <c r="K75" s="38">
        <v>63345</v>
      </c>
      <c r="L75" s="38">
        <v>65124</v>
      </c>
      <c r="M75" s="38">
        <v>83734</v>
      </c>
      <c r="N75" s="38">
        <v>83915</v>
      </c>
      <c r="O75" s="38">
        <v>89534</v>
      </c>
      <c r="P75" s="38">
        <v>103574</v>
      </c>
      <c r="Q75" s="38">
        <v>124982</v>
      </c>
      <c r="R75" s="38">
        <v>114282</v>
      </c>
      <c r="S75" s="38">
        <v>198330</v>
      </c>
      <c r="T75" s="38">
        <v>213287</v>
      </c>
      <c r="U75" s="38">
        <v>281000</v>
      </c>
      <c r="V75" s="38">
        <v>295232</v>
      </c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2"/>
      <c r="AL75" s="22"/>
      <c r="AM75" s="22"/>
      <c r="AN75" s="22"/>
      <c r="AO75" s="22"/>
      <c r="AP75" s="22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</row>
    <row r="76" spans="1:61">
      <c r="A76" s="29"/>
      <c r="B76" s="41" t="s">
        <v>62</v>
      </c>
      <c r="C76" s="38"/>
      <c r="D76" s="38">
        <v>677876</v>
      </c>
      <c r="E76" s="38">
        <v>674009</v>
      </c>
      <c r="F76" s="38">
        <v>713977</v>
      </c>
      <c r="G76" s="38">
        <v>666221</v>
      </c>
      <c r="H76" s="38">
        <v>661608</v>
      </c>
      <c r="I76" s="38">
        <v>654753</v>
      </c>
      <c r="J76" s="38">
        <v>671565</v>
      </c>
      <c r="K76" s="38">
        <v>679239</v>
      </c>
      <c r="L76" s="38">
        <v>683988</v>
      </c>
      <c r="M76" s="38">
        <v>700769</v>
      </c>
      <c r="N76" s="38">
        <v>709817</v>
      </c>
      <c r="O76" s="38">
        <v>723320</v>
      </c>
      <c r="P76" s="38">
        <v>759999</v>
      </c>
      <c r="Q76" s="38">
        <v>770148</v>
      </c>
      <c r="R76" s="38">
        <v>786876</v>
      </c>
      <c r="S76" s="38">
        <v>824453</v>
      </c>
      <c r="T76" s="38">
        <v>834432</v>
      </c>
      <c r="U76" s="38">
        <v>877814</v>
      </c>
      <c r="V76" s="38">
        <v>881997</v>
      </c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2"/>
      <c r="AL76" s="22"/>
      <c r="AM76" s="22"/>
      <c r="AN76" s="22"/>
      <c r="AO76" s="22"/>
      <c r="AP76" s="22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</row>
    <row r="77" spans="1:61">
      <c r="A77" s="29"/>
      <c r="B77" s="41" t="s">
        <v>63</v>
      </c>
      <c r="C77" s="38"/>
      <c r="D77" s="38">
        <v>31891</v>
      </c>
      <c r="E77" s="38">
        <v>32272</v>
      </c>
      <c r="F77" s="38">
        <v>28646</v>
      </c>
      <c r="G77" s="38">
        <v>26203</v>
      </c>
      <c r="H77" s="38">
        <v>26182</v>
      </c>
      <c r="I77" s="38">
        <v>24876</v>
      </c>
      <c r="J77" s="38">
        <v>23043</v>
      </c>
      <c r="K77" s="38">
        <v>21795</v>
      </c>
      <c r="L77" s="38">
        <v>22811</v>
      </c>
      <c r="M77" s="38">
        <v>21859</v>
      </c>
      <c r="N77" s="38">
        <v>15493</v>
      </c>
      <c r="O77" s="38">
        <v>11700</v>
      </c>
      <c r="P77" s="38">
        <v>11221</v>
      </c>
      <c r="Q77" s="38">
        <v>11267</v>
      </c>
      <c r="R77" s="38">
        <v>9173</v>
      </c>
      <c r="S77" s="38">
        <v>9146</v>
      </c>
      <c r="T77" s="38">
        <v>9141</v>
      </c>
      <c r="U77" s="38">
        <v>8840</v>
      </c>
      <c r="V77" s="38">
        <v>1805</v>
      </c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2"/>
      <c r="AL77" s="22"/>
      <c r="AM77" s="22"/>
      <c r="AN77" s="22"/>
      <c r="AO77" s="22"/>
      <c r="AP77" s="22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</row>
    <row r="78" spans="1:61">
      <c r="A78" s="29"/>
      <c r="B78" s="41" t="s">
        <v>85</v>
      </c>
      <c r="C78" s="38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3208</v>
      </c>
      <c r="J78" s="38">
        <v>2781</v>
      </c>
      <c r="K78" s="38">
        <v>5337</v>
      </c>
      <c r="L78" s="38">
        <v>2927</v>
      </c>
      <c r="M78" s="38">
        <v>2494</v>
      </c>
      <c r="N78" s="38">
        <v>2454</v>
      </c>
      <c r="O78" s="38">
        <v>3192</v>
      </c>
      <c r="P78" s="38">
        <v>2431</v>
      </c>
      <c r="Q78" s="38">
        <v>3839</v>
      </c>
      <c r="R78" s="38">
        <v>1019</v>
      </c>
      <c r="S78" s="38">
        <v>1673</v>
      </c>
      <c r="T78" s="38">
        <v>1970</v>
      </c>
      <c r="U78" s="38">
        <v>1932</v>
      </c>
      <c r="V78" s="38">
        <v>895</v>
      </c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2"/>
      <c r="AL78" s="22"/>
      <c r="AM78" s="22"/>
      <c r="AN78" s="22"/>
      <c r="AO78" s="22"/>
      <c r="AP78" s="22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</row>
    <row r="79" spans="1:61">
      <c r="A79" s="29"/>
      <c r="B79" s="40" t="s">
        <v>51</v>
      </c>
      <c r="C79" s="38"/>
      <c r="D79" s="38">
        <v>248.988</v>
      </c>
      <c r="E79" s="38">
        <v>233</v>
      </c>
      <c r="F79" s="38">
        <v>422</v>
      </c>
      <c r="G79" s="38">
        <v>507</v>
      </c>
      <c r="H79" s="38">
        <v>486</v>
      </c>
      <c r="I79" s="38">
        <v>502</v>
      </c>
      <c r="J79" s="38">
        <v>169</v>
      </c>
      <c r="K79" s="38">
        <v>167</v>
      </c>
      <c r="L79" s="38">
        <v>267</v>
      </c>
      <c r="M79" s="38">
        <v>76</v>
      </c>
      <c r="N79" s="38">
        <v>496</v>
      </c>
      <c r="O79" s="38">
        <v>448</v>
      </c>
      <c r="P79" s="38">
        <v>528</v>
      </c>
      <c r="Q79" s="38">
        <v>430</v>
      </c>
      <c r="R79" s="38">
        <v>452</v>
      </c>
      <c r="S79" s="38">
        <v>501</v>
      </c>
      <c r="T79" s="38">
        <v>638</v>
      </c>
      <c r="U79" s="38">
        <v>1389</v>
      </c>
      <c r="V79" s="38">
        <v>1813</v>
      </c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2"/>
      <c r="AL79" s="22"/>
      <c r="AM79" s="22"/>
      <c r="AN79" s="22"/>
      <c r="AO79" s="22"/>
      <c r="AP79" s="22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</row>
    <row r="80" spans="1:61">
      <c r="A80" s="29"/>
      <c r="B80" s="40" t="s">
        <v>66</v>
      </c>
      <c r="C80" s="38"/>
      <c r="D80" s="38">
        <v>2447.9075099000002</v>
      </c>
      <c r="E80" s="38">
        <v>2429</v>
      </c>
      <c r="F80" s="38">
        <v>2594</v>
      </c>
      <c r="G80" s="38">
        <v>2472</v>
      </c>
      <c r="H80" s="38">
        <v>2455</v>
      </c>
      <c r="I80" s="38">
        <v>2446</v>
      </c>
      <c r="J80" s="38">
        <v>2418</v>
      </c>
      <c r="K80" s="38">
        <v>2853</v>
      </c>
      <c r="L80" s="38">
        <v>2885</v>
      </c>
      <c r="M80" s="38">
        <v>2955</v>
      </c>
      <c r="N80" s="38">
        <v>2584</v>
      </c>
      <c r="O80" s="38">
        <v>3069</v>
      </c>
      <c r="P80" s="38">
        <v>2895</v>
      </c>
      <c r="Q80" s="38">
        <v>2888</v>
      </c>
      <c r="R80" s="38">
        <v>2909</v>
      </c>
      <c r="S80" s="38">
        <v>3412</v>
      </c>
      <c r="T80" s="38">
        <v>2694</v>
      </c>
      <c r="U80" s="38">
        <v>2727</v>
      </c>
      <c r="V80" s="38">
        <v>2778</v>
      </c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</row>
    <row r="81" spans="1:61">
      <c r="A81" s="29"/>
      <c r="B81" s="40" t="s">
        <v>67</v>
      </c>
      <c r="C81" s="38"/>
      <c r="D81" s="38">
        <v>79.604549473500001</v>
      </c>
      <c r="E81" s="38">
        <v>139</v>
      </c>
      <c r="F81" s="38">
        <v>414</v>
      </c>
      <c r="G81" s="38">
        <v>494</v>
      </c>
      <c r="H81" s="38">
        <v>110</v>
      </c>
      <c r="I81" s="38">
        <v>104</v>
      </c>
      <c r="J81" s="38">
        <v>45</v>
      </c>
      <c r="K81" s="38">
        <v>72</v>
      </c>
      <c r="L81" s="38">
        <v>104</v>
      </c>
      <c r="M81" s="38">
        <v>130</v>
      </c>
      <c r="N81" s="38">
        <v>100</v>
      </c>
      <c r="O81" s="38">
        <v>138</v>
      </c>
      <c r="P81" s="38">
        <v>164</v>
      </c>
      <c r="Q81" s="38">
        <v>186</v>
      </c>
      <c r="R81" s="38">
        <v>109</v>
      </c>
      <c r="S81" s="38">
        <v>210</v>
      </c>
      <c r="T81" s="38">
        <v>405</v>
      </c>
      <c r="U81" s="38">
        <v>152</v>
      </c>
      <c r="V81" s="38">
        <v>89</v>
      </c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</row>
    <row r="82" spans="1:61">
      <c r="A82" s="29"/>
      <c r="B82" s="40" t="s">
        <v>68</v>
      </c>
      <c r="C82" s="38"/>
      <c r="D82" s="38">
        <v>342.43561862454999</v>
      </c>
      <c r="E82" s="38">
        <v>267</v>
      </c>
      <c r="F82" s="38">
        <v>100</v>
      </c>
      <c r="G82" s="38">
        <v>241</v>
      </c>
      <c r="H82" s="38">
        <v>321</v>
      </c>
      <c r="I82" s="38">
        <v>329</v>
      </c>
      <c r="J82" s="38">
        <v>474</v>
      </c>
      <c r="K82" s="38">
        <v>572</v>
      </c>
      <c r="L82" s="38">
        <v>310</v>
      </c>
      <c r="M82" s="38">
        <v>485</v>
      </c>
      <c r="N82" s="38">
        <v>621</v>
      </c>
      <c r="O82" s="38">
        <v>623</v>
      </c>
      <c r="P82" s="38">
        <v>760</v>
      </c>
      <c r="Q82" s="38">
        <v>501</v>
      </c>
      <c r="R82" s="38">
        <v>188</v>
      </c>
      <c r="S82" s="38">
        <v>137</v>
      </c>
      <c r="T82" s="38">
        <v>133</v>
      </c>
      <c r="U82" s="38">
        <v>136</v>
      </c>
      <c r="V82" s="38">
        <v>220</v>
      </c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</row>
    <row r="83" spans="1:61">
      <c r="A83" s="29"/>
      <c r="B83" s="40" t="s">
        <v>89</v>
      </c>
      <c r="C83" s="38"/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904</v>
      </c>
      <c r="M83" s="38">
        <v>897</v>
      </c>
      <c r="N83" s="38">
        <v>0</v>
      </c>
      <c r="O83" s="38">
        <v>0</v>
      </c>
      <c r="P83" s="38">
        <v>0</v>
      </c>
      <c r="Q83" s="38">
        <v>81</v>
      </c>
      <c r="R83" s="38">
        <v>125</v>
      </c>
      <c r="S83" s="38">
        <v>124</v>
      </c>
      <c r="T83" s="38">
        <v>0</v>
      </c>
      <c r="U83" s="38">
        <v>0</v>
      </c>
      <c r="V83" s="38">
        <v>0</v>
      </c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</row>
    <row r="84" spans="1:61">
      <c r="A84" s="28"/>
      <c r="B84" s="40" t="s">
        <v>69</v>
      </c>
      <c r="C84" s="38"/>
      <c r="D84" s="38">
        <v>60882.602276841833</v>
      </c>
      <c r="E84" s="38">
        <v>60712</v>
      </c>
      <c r="F84" s="38">
        <v>10100</v>
      </c>
      <c r="G84" s="38">
        <v>12089</v>
      </c>
      <c r="H84" s="38">
        <v>15119</v>
      </c>
      <c r="I84" s="38">
        <v>7819</v>
      </c>
      <c r="J84" s="38">
        <v>6646</v>
      </c>
      <c r="K84" s="38">
        <v>9605</v>
      </c>
      <c r="L84" s="38">
        <v>9636</v>
      </c>
      <c r="M84" s="38">
        <v>8954</v>
      </c>
      <c r="N84" s="38">
        <v>5166</v>
      </c>
      <c r="O84" s="38">
        <v>8988</v>
      </c>
      <c r="P84" s="38">
        <v>9811</v>
      </c>
      <c r="Q84" s="38">
        <v>10243</v>
      </c>
      <c r="R84" s="38">
        <v>9684</v>
      </c>
      <c r="S84" s="38">
        <v>10229</v>
      </c>
      <c r="T84" s="38">
        <v>11249</v>
      </c>
      <c r="U84" s="38">
        <v>9250</v>
      </c>
      <c r="V84" s="38">
        <v>10765</v>
      </c>
      <c r="W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28"/>
      <c r="AZ84" s="17"/>
      <c r="BA84" s="17"/>
      <c r="BB84" s="17"/>
      <c r="BC84" s="17"/>
      <c r="BD84" s="17"/>
      <c r="BE84" s="17"/>
      <c r="BF84" s="17"/>
      <c r="BG84" s="17"/>
      <c r="BH84" s="17"/>
      <c r="BI84" s="17"/>
    </row>
    <row r="85" spans="1:61">
      <c r="B85" s="44" t="s">
        <v>70</v>
      </c>
      <c r="C85" s="56"/>
      <c r="D85" s="56">
        <v>93233</v>
      </c>
      <c r="E85" s="56">
        <v>96791</v>
      </c>
      <c r="F85" s="56">
        <v>100976</v>
      </c>
      <c r="G85" s="56">
        <v>104925</v>
      </c>
      <c r="H85" s="56">
        <v>100068</v>
      </c>
      <c r="I85" s="56">
        <v>103837</v>
      </c>
      <c r="J85" s="56">
        <v>107783</v>
      </c>
      <c r="K85" s="56">
        <v>111886</v>
      </c>
      <c r="L85" s="56">
        <v>103091</v>
      </c>
      <c r="M85" s="56">
        <v>107640</v>
      </c>
      <c r="N85" s="56">
        <v>119963</v>
      </c>
      <c r="O85" s="56">
        <v>123304</v>
      </c>
      <c r="P85" s="56">
        <v>114026</v>
      </c>
      <c r="Q85" s="56">
        <v>118411</v>
      </c>
      <c r="R85" s="56">
        <v>121730</v>
      </c>
      <c r="S85" s="56">
        <v>124542</v>
      </c>
      <c r="T85" s="56">
        <v>115998</v>
      </c>
      <c r="U85" s="56">
        <v>118927</v>
      </c>
      <c r="V85" s="56">
        <v>120975</v>
      </c>
      <c r="W85" s="28"/>
      <c r="AY85" s="30"/>
    </row>
    <row r="86" spans="1:61">
      <c r="B86" s="41" t="s">
        <v>71</v>
      </c>
      <c r="C86" s="38"/>
      <c r="D86" s="38">
        <v>26</v>
      </c>
      <c r="E86" s="38">
        <v>25</v>
      </c>
      <c r="F86" s="38">
        <v>316</v>
      </c>
      <c r="G86" s="38">
        <v>324</v>
      </c>
      <c r="H86" s="38">
        <v>219</v>
      </c>
      <c r="I86" s="38">
        <v>212</v>
      </c>
      <c r="J86" s="38">
        <v>-26</v>
      </c>
      <c r="K86" s="38">
        <v>-26</v>
      </c>
      <c r="L86" s="38">
        <v>-27</v>
      </c>
      <c r="M86" s="38">
        <v>-26</v>
      </c>
      <c r="N86" s="38">
        <v>-23</v>
      </c>
      <c r="O86" s="38">
        <v>-18</v>
      </c>
      <c r="P86" s="38">
        <v>-18</v>
      </c>
      <c r="Q86" s="38">
        <v>171</v>
      </c>
      <c r="R86" s="38">
        <v>166</v>
      </c>
      <c r="S86" s="38">
        <v>164</v>
      </c>
      <c r="T86" s="38">
        <v>157</v>
      </c>
      <c r="U86" s="38">
        <v>151</v>
      </c>
      <c r="V86" s="38">
        <v>165</v>
      </c>
      <c r="W86" s="28"/>
      <c r="AY86" s="28"/>
    </row>
    <row r="87" spans="1:61">
      <c r="A87" s="28"/>
      <c r="B87" s="41" t="s">
        <v>72</v>
      </c>
      <c r="C87" s="38"/>
      <c r="D87" s="38">
        <v>93207</v>
      </c>
      <c r="E87" s="38">
        <v>96766</v>
      </c>
      <c r="F87" s="38">
        <v>100660</v>
      </c>
      <c r="G87" s="38">
        <v>104601</v>
      </c>
      <c r="H87" s="38">
        <v>99849</v>
      </c>
      <c r="I87" s="38">
        <v>103625</v>
      </c>
      <c r="J87" s="38">
        <v>107809</v>
      </c>
      <c r="K87" s="38">
        <v>111912</v>
      </c>
      <c r="L87" s="38">
        <v>103118</v>
      </c>
      <c r="M87" s="38">
        <v>107666</v>
      </c>
      <c r="N87" s="38">
        <v>119986</v>
      </c>
      <c r="O87" s="38">
        <v>123322</v>
      </c>
      <c r="P87" s="38">
        <v>114044</v>
      </c>
      <c r="Q87" s="38">
        <v>118240</v>
      </c>
      <c r="R87" s="38">
        <v>121564</v>
      </c>
      <c r="S87" s="38">
        <v>124378</v>
      </c>
      <c r="T87" s="38">
        <v>115841</v>
      </c>
      <c r="U87" s="38">
        <v>118776</v>
      </c>
      <c r="V87" s="38">
        <v>120810</v>
      </c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3"/>
      <c r="AJ87" s="62"/>
      <c r="AK87" s="63"/>
      <c r="AL87" s="62"/>
      <c r="AM87" s="63"/>
      <c r="AN87" s="62"/>
      <c r="AO87" s="63"/>
      <c r="AP87" s="63"/>
      <c r="AQ87" s="63"/>
      <c r="AR87" s="62"/>
      <c r="AS87" s="62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</row>
    <row r="88" spans="1:61">
      <c r="A88" s="31"/>
      <c r="B88" s="52" t="s">
        <v>73</v>
      </c>
      <c r="C88" s="57"/>
      <c r="D88" s="57">
        <v>958178</v>
      </c>
      <c r="E88" s="57">
        <v>943381</v>
      </c>
      <c r="F88" s="57">
        <v>968723</v>
      </c>
      <c r="G88" s="57">
        <v>913938</v>
      </c>
      <c r="H88" s="57">
        <v>900332</v>
      </c>
      <c r="I88" s="57">
        <v>897275</v>
      </c>
      <c r="J88" s="57">
        <v>902589</v>
      </c>
      <c r="K88" s="57">
        <v>924870</v>
      </c>
      <c r="L88" s="57">
        <v>923499</v>
      </c>
      <c r="M88" s="57">
        <v>959256</v>
      </c>
      <c r="N88" s="57">
        <v>959584</v>
      </c>
      <c r="O88" s="57">
        <v>997222</v>
      </c>
      <c r="P88" s="57">
        <v>1037346</v>
      </c>
      <c r="Q88" s="57">
        <v>1085848</v>
      </c>
      <c r="R88" s="57">
        <v>1066526</v>
      </c>
      <c r="S88" s="57">
        <v>1310841</v>
      </c>
      <c r="T88" s="57">
        <v>1247571</v>
      </c>
      <c r="U88" s="57">
        <v>1320954</v>
      </c>
      <c r="V88" s="57">
        <v>1329223</v>
      </c>
      <c r="W88" s="78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</row>
    <row r="89" spans="1:61">
      <c r="A89" s="28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</row>
    <row r="90" spans="1:61">
      <c r="A90" s="28"/>
      <c r="B90" s="80"/>
      <c r="C90" s="80"/>
      <c r="D90" s="80"/>
      <c r="E90" s="80"/>
      <c r="F90" s="80"/>
      <c r="G90" s="80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</row>
    <row r="91" spans="1:61">
      <c r="A91" s="28"/>
      <c r="B91" s="80"/>
      <c r="C91" s="80"/>
      <c r="D91" s="80"/>
      <c r="E91" s="80"/>
      <c r="F91" s="80"/>
      <c r="G91" s="80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2"/>
      <c r="AL91" s="22"/>
      <c r="AM91" s="22"/>
      <c r="AN91" s="22"/>
      <c r="AO91" s="22"/>
      <c r="AP91" s="22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</row>
    <row r="92" spans="1:61">
      <c r="A92" s="28"/>
      <c r="B92" s="80"/>
      <c r="C92" s="80"/>
      <c r="D92" s="80"/>
      <c r="E92" s="80"/>
      <c r="F92" s="80"/>
      <c r="G92" s="80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2"/>
      <c r="AL92" s="22"/>
      <c r="AM92" s="22"/>
      <c r="AN92" s="22"/>
      <c r="AO92" s="22"/>
      <c r="AP92" s="22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</row>
    <row r="93" spans="1:61">
      <c r="A93" s="28"/>
      <c r="B93" s="80"/>
      <c r="C93" s="80"/>
      <c r="D93" s="80"/>
      <c r="E93" s="80"/>
      <c r="F93" s="80"/>
      <c r="G93" s="80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2"/>
      <c r="AL93" s="22"/>
      <c r="AM93" s="22"/>
      <c r="AN93" s="22"/>
      <c r="AO93" s="22"/>
      <c r="AP93" s="22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</row>
    <row r="94" spans="1:61">
      <c r="A94" s="28"/>
      <c r="B94" s="80"/>
      <c r="C94" s="80"/>
      <c r="D94" s="80"/>
      <c r="E94" s="80"/>
      <c r="F94" s="80"/>
      <c r="G94" s="80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2"/>
      <c r="AL94" s="22"/>
      <c r="AM94" s="22"/>
      <c r="AN94" s="22"/>
      <c r="AO94" s="22"/>
      <c r="AP94" s="22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</row>
    <row r="95" spans="1:61">
      <c r="A95" s="28"/>
      <c r="B95" s="80"/>
      <c r="C95" s="80"/>
      <c r="D95" s="80"/>
      <c r="E95" s="80"/>
      <c r="F95" s="80"/>
      <c r="G95" s="80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2"/>
      <c r="AL95" s="22"/>
      <c r="AM95" s="22"/>
      <c r="AN95" s="22"/>
      <c r="AO95" s="22"/>
      <c r="AP95" s="22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</row>
    <row r="96" spans="1:61">
      <c r="A96" s="28"/>
      <c r="B96" s="80"/>
      <c r="C96" s="80"/>
      <c r="D96" s="80"/>
      <c r="E96" s="80"/>
      <c r="F96" s="80"/>
      <c r="G96" s="80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</row>
    <row r="97" spans="1:61">
      <c r="A97" s="28"/>
      <c r="B97" s="80"/>
      <c r="C97" s="80"/>
      <c r="D97" s="80"/>
      <c r="E97" s="80"/>
      <c r="F97" s="80"/>
      <c r="G97" s="80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</row>
    <row r="98" spans="1:61">
      <c r="A98" s="28"/>
      <c r="B98" s="80"/>
      <c r="C98" s="80"/>
      <c r="D98" s="80"/>
      <c r="E98" s="80"/>
      <c r="F98" s="80"/>
      <c r="G98" s="80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</row>
    <row r="99" spans="1:61">
      <c r="A99" s="28"/>
      <c r="B99" s="80"/>
      <c r="C99" s="80"/>
      <c r="D99" s="80"/>
      <c r="E99" s="80"/>
      <c r="F99" s="80"/>
      <c r="G99" s="80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</row>
    <row r="100" spans="1:61">
      <c r="A100" s="28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</row>
    <row r="101" spans="1:61">
      <c r="A101" s="28"/>
      <c r="B101" s="60"/>
      <c r="C101" s="81"/>
      <c r="D101" s="81"/>
      <c r="E101" s="81"/>
      <c r="F101" s="81"/>
      <c r="G101" s="81"/>
      <c r="H101" s="28"/>
      <c r="I101" s="28"/>
      <c r="K101" s="28"/>
      <c r="W101" s="28"/>
      <c r="AL101" s="17"/>
      <c r="AY101" s="28"/>
    </row>
    <row r="102" spans="1:61">
      <c r="B102" s="60"/>
      <c r="AY102" s="28"/>
    </row>
    <row r="103" spans="1:61">
      <c r="AL103" s="17"/>
      <c r="AY103" s="28"/>
    </row>
    <row r="104" spans="1:61">
      <c r="W104" s="17"/>
      <c r="AY104" s="28"/>
    </row>
    <row r="105" spans="1:61">
      <c r="AY105" s="28"/>
    </row>
    <row r="106" spans="1:61">
      <c r="AY106" s="28"/>
    </row>
    <row r="107" spans="1:61">
      <c r="AY107" s="28"/>
    </row>
    <row r="108" spans="1:61">
      <c r="AY108" s="28"/>
    </row>
    <row r="109" spans="1:61">
      <c r="AY109" s="28"/>
    </row>
    <row r="110" spans="1:61">
      <c r="AY110" s="28"/>
    </row>
    <row r="111" spans="1:61">
      <c r="AY111" s="28"/>
    </row>
    <row r="112" spans="1:61">
      <c r="AY112" s="28"/>
    </row>
    <row r="113" spans="51:51">
      <c r="AY113" s="28"/>
    </row>
    <row r="114" spans="51:51">
      <c r="AY114" s="28"/>
    </row>
    <row r="115" spans="51:51">
      <c r="AY115" s="28"/>
    </row>
    <row r="116" spans="51:51">
      <c r="AY116" s="28"/>
    </row>
    <row r="117" spans="51:51">
      <c r="AY117" s="28"/>
    </row>
    <row r="118" spans="51:51">
      <c r="AY118" s="28"/>
    </row>
    <row r="119" spans="51:51">
      <c r="AY119" s="28"/>
    </row>
    <row r="120" spans="51:51">
      <c r="AY120" s="28"/>
    </row>
    <row r="121" spans="51:51">
      <c r="AY121" s="28"/>
    </row>
    <row r="122" spans="51:51">
      <c r="AY122" s="28"/>
    </row>
    <row r="123" spans="51:51">
      <c r="AY123" s="28"/>
    </row>
    <row r="124" spans="51:51">
      <c r="AY124" s="28"/>
    </row>
    <row r="125" spans="51:51">
      <c r="AY125" s="28"/>
    </row>
    <row r="126" spans="51:51">
      <c r="AY126" s="28"/>
    </row>
    <row r="127" spans="51:51">
      <c r="AY127" s="28"/>
    </row>
    <row r="128" spans="51:51">
      <c r="AY128" s="28"/>
    </row>
    <row r="129" spans="51:51">
      <c r="AY129" s="28"/>
    </row>
    <row r="130" spans="51:51">
      <c r="AY130" s="28"/>
    </row>
    <row r="131" spans="51:51">
      <c r="AY131" s="28"/>
    </row>
    <row r="132" spans="51:51">
      <c r="AY132" s="28"/>
    </row>
    <row r="133" spans="51:51">
      <c r="AY133" s="28"/>
    </row>
    <row r="134" spans="51:51">
      <c r="AY134" s="28"/>
    </row>
    <row r="135" spans="51:51">
      <c r="AY135" s="28"/>
    </row>
    <row r="136" spans="51:51">
      <c r="AY136" s="28"/>
    </row>
    <row r="137" spans="51:51">
      <c r="AY137" s="28"/>
    </row>
    <row r="138" spans="51:51">
      <c r="AY138" s="28"/>
    </row>
    <row r="139" spans="51:51">
      <c r="AY139" s="28"/>
    </row>
    <row r="140" spans="51:51">
      <c r="AY140" s="28"/>
    </row>
    <row r="141" spans="51:51">
      <c r="AY141" s="28"/>
    </row>
    <row r="142" spans="51:51">
      <c r="AY142" s="28"/>
    </row>
    <row r="143" spans="51:51">
      <c r="AY143" s="28"/>
    </row>
    <row r="144" spans="51:51">
      <c r="AY144" s="28"/>
    </row>
    <row r="145" spans="51:51">
      <c r="AY145" s="28"/>
    </row>
    <row r="146" spans="51:51">
      <c r="AY146" s="28"/>
    </row>
    <row r="147" spans="51:51">
      <c r="AY147" s="28"/>
    </row>
    <row r="148" spans="51:51">
      <c r="AY148" s="28"/>
    </row>
    <row r="149" spans="51:51">
      <c r="AY149" s="28"/>
    </row>
    <row r="150" spans="51:51">
      <c r="AY150" s="28"/>
    </row>
    <row r="151" spans="51:51">
      <c r="AY151" s="28"/>
    </row>
    <row r="152" spans="51:51">
      <c r="AY152" s="28"/>
    </row>
    <row r="153" spans="51:51">
      <c r="AY153" s="28"/>
    </row>
    <row r="154" spans="51:51">
      <c r="AY154" s="28"/>
    </row>
    <row r="155" spans="51:51">
      <c r="AY155" s="28"/>
    </row>
    <row r="156" spans="51:51">
      <c r="AY156" s="28"/>
    </row>
    <row r="157" spans="51:51">
      <c r="AY157" s="28"/>
    </row>
    <row r="158" spans="51:51">
      <c r="AY158" s="28"/>
    </row>
    <row r="159" spans="51:51">
      <c r="AY159" s="28"/>
    </row>
    <row r="160" spans="51:51">
      <c r="AY160" s="28"/>
    </row>
    <row r="161" spans="51:51">
      <c r="AY161" s="28"/>
    </row>
    <row r="162" spans="51:51">
      <c r="AY162" s="28"/>
    </row>
    <row r="163" spans="51:51">
      <c r="AY163" s="28"/>
    </row>
    <row r="164" spans="51:51">
      <c r="AY164" s="28"/>
    </row>
    <row r="165" spans="51:51">
      <c r="AY165" s="28"/>
    </row>
    <row r="166" spans="51:51">
      <c r="AY166" s="28"/>
    </row>
    <row r="167" spans="51:51">
      <c r="AY167" s="28"/>
    </row>
    <row r="168" spans="51:51">
      <c r="AY168" s="28"/>
    </row>
    <row r="169" spans="51:51">
      <c r="AY169" s="28"/>
    </row>
    <row r="170" spans="51:51">
      <c r="AY170" s="28"/>
    </row>
    <row r="171" spans="51:51">
      <c r="AY171" s="28"/>
    </row>
    <row r="172" spans="51:51">
      <c r="AY172" s="28"/>
    </row>
    <row r="173" spans="51:51">
      <c r="AY173" s="28"/>
    </row>
    <row r="174" spans="51:51">
      <c r="AY174" s="28"/>
    </row>
    <row r="175" spans="51:51">
      <c r="AY175" s="28"/>
    </row>
    <row r="176" spans="51:51">
      <c r="AY176" s="28"/>
    </row>
    <row r="177" spans="51:51">
      <c r="AY177" s="28"/>
    </row>
    <row r="178" spans="51:51">
      <c r="AY178" s="28"/>
    </row>
    <row r="179" spans="51:51">
      <c r="AY179" s="28"/>
    </row>
    <row r="180" spans="51:51">
      <c r="AY180" s="28"/>
    </row>
    <row r="181" spans="51:51">
      <c r="AY181" s="28"/>
    </row>
    <row r="182" spans="51:51">
      <c r="AY182" s="28"/>
    </row>
    <row r="183" spans="51:51">
      <c r="AY183" s="28"/>
    </row>
    <row r="184" spans="51:51">
      <c r="AY184" s="28"/>
    </row>
    <row r="185" spans="51:51">
      <c r="AY185" s="28"/>
    </row>
    <row r="186" spans="51:51">
      <c r="AY186" s="28"/>
    </row>
    <row r="187" spans="51:51">
      <c r="AY187" s="28"/>
    </row>
    <row r="188" spans="51:51">
      <c r="AY188" s="28"/>
    </row>
    <row r="189" spans="51:51">
      <c r="AY189" s="28"/>
    </row>
    <row r="190" spans="51:51">
      <c r="AY190" s="28"/>
    </row>
    <row r="191" spans="51:51">
      <c r="AY191" s="28"/>
    </row>
  </sheetData>
  <phoneticPr fontId="0" type="noConversion"/>
  <pageMargins left="0.38" right="0.2" top="0.51" bottom="0.22" header="0.4921259845" footer="0.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Key_figures</vt:lpstr>
      <vt:lpstr>Fin_Statements_IFRS9</vt:lpstr>
      <vt:lpstr>Macro</vt:lpstr>
      <vt:lpstr>Shareholder_struc</vt:lpstr>
      <vt:lpstr>IR calendar</vt:lpstr>
      <vt:lpstr>Contacts</vt:lpstr>
      <vt:lpstr>Fin_statements </vt:lpstr>
    </vt:vector>
  </TitlesOfParts>
  <Company>Česká spořitelna, a. 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Boček</dc:creator>
  <cp:lastModifiedBy>Havlíčková Barbora</cp:lastModifiedBy>
  <cp:lastPrinted>2019-02-26T13:37:42Z</cp:lastPrinted>
  <dcterms:created xsi:type="dcterms:W3CDTF">2003-08-22T08:40:21Z</dcterms:created>
  <dcterms:modified xsi:type="dcterms:W3CDTF">2026-04-29T10:09:04Z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8939b85-7e40-4a1d-91e1-0e84c3b219d7_Enabled">
    <vt:lpwstr>true</vt:lpwstr>
  </property>
  <property fmtid="{D5CDD505-2E9C-101B-9397-08002B2CF9AE}" pid="5" name="MSIP_Label_38939b85-7e40-4a1d-91e1-0e84c3b219d7_SetDate">
    <vt:lpwstr>2023-04-19T12:14:41Z</vt:lpwstr>
  </property>
  <property fmtid="{D5CDD505-2E9C-101B-9397-08002B2CF9AE}" pid="6" name="MSIP_Label_38939b85-7e40-4a1d-91e1-0e84c3b219d7_Method">
    <vt:lpwstr>Privileged</vt:lpwstr>
  </property>
  <property fmtid="{D5CDD505-2E9C-101B-9397-08002B2CF9AE}" pid="7" name="MSIP_Label_38939b85-7e40-4a1d-91e1-0e84c3b219d7_Name">
    <vt:lpwstr>38939b85-7e40-4a1d-91e1-0e84c3b219d7</vt:lpwstr>
  </property>
  <property fmtid="{D5CDD505-2E9C-101B-9397-08002B2CF9AE}" pid="8" name="MSIP_Label_38939b85-7e40-4a1d-91e1-0e84c3b219d7_SiteId">
    <vt:lpwstr>3ad0376a-54d3-49a6-9e20-52de0a92fc89</vt:lpwstr>
  </property>
  <property fmtid="{D5CDD505-2E9C-101B-9397-08002B2CF9AE}" pid="9" name="MSIP_Label_38939b85-7e40-4a1d-91e1-0e84c3b219d7_ActionId">
    <vt:lpwstr>879336b2-4013-4bec-9a59-af42c0e521c8</vt:lpwstr>
  </property>
  <property fmtid="{D5CDD505-2E9C-101B-9397-08002B2CF9AE}" pid="10" name="MSIP_Label_38939b85-7e40-4a1d-91e1-0e84c3b219d7_ContentBits">
    <vt:lpwstr>0</vt:lpwstr>
  </property>
</Properties>
</file>